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w Data" sheetId="2" state="visible" r:id="rId4"/>
    <sheet name="Calculations" sheetId="3" state="visible" r:id="rId5"/>
    <sheet name="Dashboard" sheetId="4" state="visible" r:id="rId6"/>
    <sheet name="PowerBI_Source" sheetId="5" state="visible" r:id="rId7"/>
    <sheet name="PowerBI_Guid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<sst xmlns="http://schemas.openxmlformats.org/spreadsheetml/2006/main" count="144" uniqueCount="134">
  <si>
    <t xml:space="preserve">F1 Team Cost-Efficiency &amp; Risk-Adjusted Performance Dashboard</t>
  </si>
  <si>
    <t xml:space="preserve">What this is</t>
  </si>
  <si>
    <t xml:space="preserve">A financial-efficiency model that cross-references each 2024 F1 constructor's championship points against</t>
  </si>
  <si>
    <t xml:space="preserve">team revenue and operating profit (Forbes estimates) to score risk-adjusted performance per $10M of revenue.</t>
  </si>
  <si>
    <t xml:space="preserve">How to use it</t>
  </si>
  <si>
    <t xml:space="preserve">1. 'Raw Data' — the source table (points, revenue, operating profit). Blue cells are hardcoded inputs, sourced below.</t>
  </si>
  <si>
    <t xml:space="preserve">2. 'Calculations' — all derived metrics, built entirely with formulas that recalc if you edit Raw Data.</t>
  </si>
  <si>
    <t xml:space="preserve">3. 'Dashboard' — the 1-page visual summary + recommendation memo.</t>
  </si>
  <si>
    <t xml:space="preserve">4. 'PowerBI_Source' — a flat, Table-formatted sheet designed to be imported straight into Power BI.</t>
  </si>
  <si>
    <t xml:space="preserve">Methodology</t>
  </si>
  <si>
    <t xml:space="preserve">Points per $10M Revenue = (2024 Points / Revenue) x 10 -&gt; pure on-track return per dollar of top-line.</t>
  </si>
  <si>
    <t xml:space="preserve">Operating Margin = Operating Profit / Revenue -&gt; financial health / downside risk indicator.</t>
  </si>
  <si>
    <t xml:space="preserve">Each metric is normalized 0-100 vs. the field (min-max scaling), then blended into a single</t>
  </si>
  <si>
    <t xml:space="preserve">Risk-Adjusted Performance Score = 70% x Efficiency Score + 30% x Financial Stability Score.</t>
  </si>
  <si>
    <t xml:space="preserve">The 70/30 weighting treats on-track return per dollar as the primary signal, with financial stability</t>
  </si>
  <si>
    <t xml:space="preserve">as a risk overlay that penalizes teams burning cash to buy points. Adjust the weights in Calculations!$B$2.</t>
  </si>
  <si>
    <t xml:space="preserve">Data sources</t>
  </si>
  <si>
    <t xml:space="preserve">2024 Constructor points: official F1 season standings (2024 season, final).</t>
  </si>
  <si>
    <t xml:space="preserve">2024 Revenue &amp; Operating Profit: Forbes, 'Formula 1's Most Valuable Teams 2025' (published Nov 20, 2025).</t>
  </si>
  <si>
    <t xml:space="preserve">  Forbes converted all 2024 figures to USD at Dec 31, 2024 exchange rates (GBP 1 = $1.26, EUR 1 = $1.04).</t>
  </si>
  <si>
    <t xml:space="preserve">  Source: forbes.com/sites/brettknight/2025/11/20/formula-1s-most-valuable-teams-2025/</t>
  </si>
  <si>
    <t xml:space="preserve">Power BI</t>
  </si>
  <si>
    <t xml:space="preserve">See the 'PowerBI_Guide' sheet for exact click-by-click steps to build the interactive report.</t>
  </si>
  <si>
    <t xml:space="preserve">Raw Data — 2024 F1 Constructor Points, Revenue &amp; Operating Profit</t>
  </si>
  <si>
    <t xml:space="preserve">All financial figures are Forbes 2024 estimates (USD). Points are final 2024 FIA constructor standings. Blue = hardcoded input.</t>
  </si>
  <si>
    <t xml:space="preserve">Team</t>
  </si>
  <si>
    <t xml:space="preserve">2024 Constructor Points</t>
  </si>
  <si>
    <t xml:space="preserve">2024 Revenue ($M)</t>
  </si>
  <si>
    <t xml:space="preserve">2024 Operating Profit ($M)</t>
  </si>
  <si>
    <t xml:space="preserve">Notes / Source</t>
  </si>
  <si>
    <t xml:space="preserve">McLaren</t>
  </si>
  <si>
    <t xml:space="preserve">Constructors' Champion 2024. Source: Forbes F1 Valuations 2025.</t>
  </si>
  <si>
    <t xml:space="preserve">Ferrari</t>
  </si>
  <si>
    <t xml:space="preserve">Runner-up, 14 pts behind. Source: Forbes F1 Valuations 2025.</t>
  </si>
  <si>
    <t xml:space="preserve">Red Bull Racing</t>
  </si>
  <si>
    <t xml:space="preserve">3rd in standings. Source: Forbes F1 Valuations 2025.</t>
  </si>
  <si>
    <t xml:space="preserve">Mercedes</t>
  </si>
  <si>
    <t xml:space="preserve">4th in standings; highest revenue on grid. Source: Forbes F1 Valuations 2025.</t>
  </si>
  <si>
    <t xml:space="preserve">Aston Martin</t>
  </si>
  <si>
    <t xml:space="preserve">5th in standings; operating loss. Source: Forbes F1 Valuations 2025.</t>
  </si>
  <si>
    <t xml:space="preserve">Alpine</t>
  </si>
  <si>
    <t xml:space="preserve">6th in standings; operating loss. Source: Forbes F1 Valuations 2025.</t>
  </si>
  <si>
    <t xml:space="preserve">Haas</t>
  </si>
  <si>
    <t xml:space="preserve">7th in standings; smallest revenue base. Source: Forbes F1 Valuations 2025.</t>
  </si>
  <si>
    <t xml:space="preserve">Racing Bulls (RB)</t>
  </si>
  <si>
    <t xml:space="preserve">8th in standings (raced as VCARB/RB in 2024). Source: Forbes F1 Valuations 2025.</t>
  </si>
  <si>
    <t xml:space="preserve">Williams</t>
  </si>
  <si>
    <t xml:space="preserve">9th in standings; operating loss. Source: Forbes F1 Valuations 2025.</t>
  </si>
  <si>
    <t xml:space="preserve">Sauber</t>
  </si>
  <si>
    <t xml:space="preserve">10th in standings (raced as Kick Sauber in 2024). Source: Forbes F1 Valuations 2025.</t>
  </si>
  <si>
    <t xml:space="preserve">Field Total / Avg</t>
  </si>
  <si>
    <t xml:space="preserve">Risk-Adjusted Performance Calculations</t>
  </si>
  <si>
    <t xml:space="preserve">Efficiency Weight</t>
  </si>
  <si>
    <t xml:space="preserve">&lt;- edit to re-weight the blend (financial stability weight auto-adjusts to 1 - this)</t>
  </si>
  <si>
    <t xml:space="preserve">Financial Stability Weight</t>
  </si>
  <si>
    <t xml:space="preserve">Points</t>
  </si>
  <si>
    <t xml:space="preserve">Revenue ($M)</t>
  </si>
  <si>
    <t xml:space="preserve">Op. Profit ($M)</t>
  </si>
  <si>
    <t xml:space="preserve">Points per $10M Rev</t>
  </si>
  <si>
    <t xml:space="preserve">Operating Margin</t>
  </si>
  <si>
    <t xml:space="preserve">Efficiency Score (0-100)</t>
  </si>
  <si>
    <t xml:space="preserve">Financial Stability Score (0-100)</t>
  </si>
  <si>
    <t xml:space="preserve">Risk-Adjusted Score</t>
  </si>
  <si>
    <t xml:space="preserve">Rank</t>
  </si>
  <si>
    <t xml:space="preserve">Efficiency Score and Financial Stability Score are min-max normalized (0 = weakest in field, 100 = strongest in field).</t>
  </si>
  <si>
    <t xml:space="preserve">Risk-Adjusted Score = Efficiency Score x Efficiency Weight + Financial Stability Score x Financial Stability Weight.</t>
  </si>
  <si>
    <t xml:space="preserve">F1 Team Cost-Efficiency &amp; Risk-Adjusted Performance — 2024</t>
  </si>
  <si>
    <t xml:space="preserve">Pts / $10M Rev</t>
  </si>
  <si>
    <t xml:space="preserve">Op. Margin</t>
  </si>
  <si>
    <t xml:space="preserve">1-Page Recommendation Memo</t>
  </si>
  <si>
    <t xml:space="preserve">Headline finding: McLaren and Ferrari lead the grid on risk-adjusted, revenue-normalized performance — not just on</t>
  </si>
  <si>
    <t xml:space="preserve">raw championship points. Both convert revenue into on-track results efficiently while running healthy operating margins,</t>
  </si>
  <si>
    <t xml:space="preserve">which is what the composite score is designed to reward over teams that simply outspend the field.</t>
  </si>
  <si>
    <t xml:space="preserve">Efficiency vs. scale: Mercedes has the largest revenue base ($799M) and strongest operating profit ($202M) but finished</t>
  </si>
  <si>
    <t xml:space="preserve">4th in points — its per-$10M efficiency score is pulled down by that scale, even though it is the field's most</t>
  </si>
  <si>
    <t xml:space="preserve">financially stable team. This is exactly the tradeoff the model is built to surface: bigger budgets don't automatically</t>
  </si>
  <si>
    <t xml:space="preserve">mean better return per dollar.</t>
  </si>
  <si>
    <t xml:space="preserve">Risk flags: Aston Martin, Alpine, Williams and Sauber posted 2024 operating losses. Their financial-stability scores</t>
  </si>
  <si>
    <t xml:space="preserve">drag down their composite ranking even where on-track points are respectable relative to spend, which is the intended</t>
  </si>
  <si>
    <t xml:space="preserve">'risk-adjustment' — a team burning cash to compete is a riskier proposition for investors/sponsors than one that isn't.</t>
  </si>
  <si>
    <t xml:space="preserve">Recommendation: For a sponsor or investor evaluating value-for-money, McLaren and Ferrari currently offer the best</t>
  </si>
  <si>
    <t xml:space="preserve">combination of competitive return per revenue dollar and balance-sheet health. Mercedes remains the lowest-risk</t>
  </si>
  <si>
    <t xml:space="preserve">single asset in the sport on financial stability alone, and Haas stands out as a high-efficiency, low-capital outlier</t>
  </si>
  <si>
    <t xml:space="preserve">worth watching given its small revenue base and positive operating profit.</t>
  </si>
  <si>
    <t xml:space="preserve">Caveat: revenue and operating profit are third-party (Forbes) estimates, not audited team financials; treat the</t>
  </si>
  <si>
    <t xml:space="preserve">underlying dollar figures as directionally accurate rather than exact.</t>
  </si>
  <si>
    <t xml:space="preserve">Power BI Source Table — import this sheet's table into Power BI Desktop</t>
  </si>
  <si>
    <t xml:space="preserve">Revenue_USD_M</t>
  </si>
  <si>
    <t xml:space="preserve">OperatingProfit_USD_M</t>
  </si>
  <si>
    <t xml:space="preserve">PointsPer10MRev</t>
  </si>
  <si>
    <t xml:space="preserve">OperatingMargin</t>
  </si>
  <si>
    <t xml:space="preserve">EfficiencyScore</t>
  </si>
  <si>
    <t xml:space="preserve">FinancialStabilityScore</t>
  </si>
  <si>
    <t xml:space="preserve">RiskAdjustedScore</t>
  </si>
  <si>
    <t xml:space="preserve">Tip: In Power BI Desktop, Get Data -&gt; Excel Workbook -&gt; select this file -&gt; check the 'PowerBISource' table (not the whole sheet).</t>
  </si>
  <si>
    <t xml:space="preserve">Building This in Power BI — Step by Step</t>
  </si>
  <si>
    <t xml:space="preserve">Note</t>
  </si>
  <si>
    <t xml:space="preserve">Power BI Desktop is a Windows/Mac desktop app, so it can't be generated inside this chat — but this workbook</t>
  </si>
  <si>
    <t xml:space="preserve">is built so you can import it directly and have a working report in about 10 minutes. Steps below.</t>
  </si>
  <si>
    <t xml:space="preserve">Step 1 — Get the data</t>
  </si>
  <si>
    <t xml:space="preserve">Open Power BI Desktop -&gt; Home -&gt; Get Data -&gt; Excel Workbook -&gt; select this .xlsx file.</t>
  </si>
  <si>
    <t xml:space="preserve">In the Navigator window, tick the 'PowerBISource' table (it's the flat, formula-driven table on the</t>
  </si>
  <si>
    <t xml:space="preserve">'PowerBI_Source' tab) -&gt; click Transform Data (recommended) or Load.</t>
  </si>
  <si>
    <t xml:space="preserve">Step 2 — Check data types</t>
  </si>
  <si>
    <t xml:space="preserve">In Power Query Editor, confirm: Team = Text; Points, Revenue_USD_M, OperatingProfit_USD_M,</t>
  </si>
  <si>
    <t xml:space="preserve">PointsPer10MRev = Decimal Number; OperatingMargin = Percentage; the three Score columns = Decimal Number;</t>
  </si>
  <si>
    <t xml:space="preserve">Rank = Whole Number. Click Close &amp; Apply.</t>
  </si>
  <si>
    <t xml:space="preserve">Step 3 — Build the visuals</t>
  </si>
  <si>
    <t xml:space="preserve">On the report canvas, add these four visuals:</t>
  </si>
  <si>
    <t xml:space="preserve">  a) Clustered Bar Chart — Axis: Team, Values: RiskAdjustedScore, sorted descending by RiskAdjustedScore.</t>
  </si>
  <si>
    <t xml:space="preserve">  b) Scatter Chart — X-axis: Revenue_USD_M, Y-axis: Points, Legend: Team, Size: OperatingProfit_USD_M</t>
  </si>
  <si>
    <t xml:space="preserve">     (this recreates the Excel scatter but adds profit as bubble size, which Excel can't do natively).</t>
  </si>
  <si>
    <t xml:space="preserve">  c) Table/Matrix — Columns: Rank, Team, Points, Revenue_USD_M, OperatingMargin, RiskAdjustedScore,</t>
  </si>
  <si>
    <t xml:space="preserve">     sorted by Rank ascending.</t>
  </si>
  <si>
    <t xml:space="preserve">  d) Card visuals — one showing AVERAGE(Revenue_USD_M), one showing AVERAGE(OperatingMargin), for context.</t>
  </si>
  <si>
    <t xml:space="preserve">Step 4 — Add a slicer</t>
  </si>
  <si>
    <t xml:space="preserve">Add a Slicer visual bound to Team so a viewer can isolate one constructor across all visuals.</t>
  </si>
  <si>
    <t xml:space="preserve">Step 5 — Formatting</t>
  </si>
  <si>
    <t xml:space="preserve">Format -&gt; Theme -&gt; pick a dark theme for an F1-paddock feel, or match the workbook's red/black.</t>
  </si>
  <si>
    <t xml:space="preserve">Set the bar chart's data color by team using the constructors' real liveries if you want it presentation-ready</t>
  </si>
  <si>
    <t xml:space="preserve">(e.g., McLaren papaya #FF8000, Ferrari red #DC0000, Mercedes teal #00D2BE, Red Bull navy #3671C6).</t>
  </si>
  <si>
    <t xml:space="preserve">Step 6 — Publish</t>
  </si>
  <si>
    <t xml:space="preserve">File -&gt; Publish -&gt; Power BI Service, if you want a shareable link instead of just a .pbix file.</t>
  </si>
  <si>
    <t xml:space="preserve">Optional: DAX measure</t>
  </si>
  <si>
    <t xml:space="preserve">If you'd rather compute the Risk-Adjusted Score natively in Power BI instead of importing it</t>
  </si>
  <si>
    <t xml:space="preserve">pre-calculated, create this measure (New Measure on the PowerBISource table):</t>
  </si>
  <si>
    <t xml:space="preserve">RiskAdjustedScore_DAX = </t>
  </si>
  <si>
    <t xml:space="preserve">VAR EffMin = MIN(PowerBISource[PointsPer10MRev])</t>
  </si>
  <si>
    <t xml:space="preserve">VAR EffMax = MAX(PowerBISource[PointsPer10MRev])</t>
  </si>
  <si>
    <t xml:space="preserve">VAR MarMin = MIN(PowerBISource[OperatingMargin])</t>
  </si>
  <si>
    <t xml:space="preserve">VAR MarMax = MAX(PowerBISource[OperatingMargin])</t>
  </si>
  <si>
    <t xml:space="preserve">VAR EffScore = DIVIDE(SELECTEDVALUE(PowerBISource[PointsPer10MRev]) - EffMin, EffMax - EffMin) * 100</t>
  </si>
  <si>
    <t xml:space="preserve">VAR MarScore = DIVIDE(SELECTEDVALUE(PowerBISource[OperatingMargin]) - MarMin, MarMax - MarMin) * 100</t>
  </si>
  <si>
    <t xml:space="preserve">RETURN EffScore * 0.7 + MarScore * 0.3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</si>
</sst>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General"/>
    <numFmt numFmtId="167" formatCode="0.0%;\(0.0%\);\-"/>
    <numFmt numFmtId="168" formatCode="0.00"/>
    <numFmt numFmtId="169" formatCode="0.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Consola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10600"/>
        <bgColor rgb="FFC00000"/>
      </patternFill>
    </fill>
    <fill>
      <patternFill patternType="solid">
        <fgColor rgb="FF1E1E1E"/>
        <bgColor rgb="FF333300"/>
      </patternFill>
    </fill>
    <fill>
      <patternFill patternType="solid">
        <fgColor rgb="FFF2F2F2"/>
        <bgColor rgb="FFF9F9F9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double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E1E1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E106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1E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Risk-Adjusted Performance Score by Team (2024)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Dashboard!H4</c:f>
              <c:strCache>
                <c:ptCount val="1"/>
                <c:pt idx="0">
                  <c:v>Risk-Adjusted Score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Dashboard!$B$5:$B$14</c:f>
              <c:strCache>
                <c:ptCount val="10"/>
                <c:pt idx="0">
                  <c:v>McLaren</c:v>
                </c:pt>
                <c:pt idx="1">
                  <c:v>Ferrari</c:v>
                </c:pt>
                <c:pt idx="2">
                  <c:v>Red Bull Racing</c:v>
                </c:pt>
                <c:pt idx="3">
                  <c:v>Mercedes</c:v>
                </c:pt>
                <c:pt idx="4">
                  <c:v>Haas</c:v>
                </c:pt>
                <c:pt idx="5">
                  <c:v>Aston Martin</c:v>
                </c:pt>
                <c:pt idx="6">
                  <c:v>Alpine</c:v>
                </c:pt>
                <c:pt idx="7">
                  <c:v>Racing Bulls (RB)</c:v>
                </c:pt>
                <c:pt idx="8">
                  <c:v>Williams</c:v>
                </c:pt>
                <c:pt idx="9">
                  <c:v>Sauber</c:v>
                </c:pt>
              </c:strCache>
            </c:strRef>
          </c:cat>
          <c:val>
            <c:numRef>
              <c:f>Dashboard!$H$5:$H$14</c:f>
              <c:numCache>
                <c:formatCode>0.0</c:formatCode>
                <c:ptCount val="10"/>
                <c:pt idx="0">
                  <c:v>88.4828784391994</c:v>
                </c:pt>
                <c:pt idx="1">
                  <c:v>82.6763107533026</c:v>
                </c:pt>
                <c:pt idx="2">
                  <c:v>75.5581114042413</c:v>
                </c:pt>
                <c:pt idx="3">
                  <c:v>67.2974662642846</c:v>
                </c:pt>
                <c:pt idx="4">
                  <c:v>39.7803221235192</c:v>
                </c:pt>
                <c:pt idx="5">
                  <c:v>23.5611047945554</c:v>
                </c:pt>
                <c:pt idx="6">
                  <c:v>20.8834954811316</c:v>
                </c:pt>
                <c:pt idx="7">
                  <c:v>20.5956376059996</c:v>
                </c:pt>
                <c:pt idx="8">
                  <c:v>3.45542476635853</c:v>
                </c:pt>
                <c:pt idx="9">
                  <c:v>3.20987585299154</c:v>
                </c:pt>
              </c:numCache>
            </c:numRef>
          </c:val>
        </c:ser>
        <c:gapWidth val="150"/>
        <c:overlap val="0"/>
        <c:axId val="55400740"/>
        <c:axId val="3739682"/>
      </c:barChart>
      <c:catAx>
        <c:axId val="554007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Team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39682"/>
        <c:crosses val="autoZero"/>
        <c:auto val="1"/>
        <c:lblAlgn val="ctr"/>
        <c:lblOffset val="100"/>
        <c:noMultiLvlLbl val="0"/>
      </c:catAx>
      <c:valAx>
        <c:axId val="37396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 (0-100)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4007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vs. Constructor Points (2024)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"Teams"</c:f>
              <c:strCache>
                <c:ptCount val="1"/>
                <c:pt idx="0">
                  <c:v>Teams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8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Dashboard!$D$5:$D$14</c:f>
              <c:numCache>
                <c:formatCode>\$#,##0;"($"#,##0\);\-</c:formatCode>
                <c:ptCount val="10"/>
                <c:pt idx="0">
                  <c:v>614</c:v>
                </c:pt>
                <c:pt idx="1">
                  <c:v>670</c:v>
                </c:pt>
                <c:pt idx="2">
                  <c:v>618</c:v>
                </c:pt>
                <c:pt idx="3">
                  <c:v>799</c:v>
                </c:pt>
                <c:pt idx="4">
                  <c:v>150</c:v>
                </c:pt>
                <c:pt idx="5">
                  <c:v>353</c:v>
                </c:pt>
                <c:pt idx="6">
                  <c:v>300</c:v>
                </c:pt>
                <c:pt idx="7">
                  <c:v>318</c:v>
                </c:pt>
                <c:pt idx="8">
                  <c:v>245</c:v>
                </c:pt>
                <c:pt idx="9">
                  <c:v>240</c:v>
                </c:pt>
              </c:numCache>
            </c:numRef>
          </c:xVal>
          <c:yVal>
            <c:numRef>
              <c:f>Dashboard!$C$5:$C$14</c:f>
              <c:numCache>
                <c:formatCode>General</c:formatCode>
                <c:ptCount val="10"/>
                <c:pt idx="0">
                  <c:v>666</c:v>
                </c:pt>
                <c:pt idx="1">
                  <c:v>652</c:v>
                </c:pt>
                <c:pt idx="2">
                  <c:v>589</c:v>
                </c:pt>
                <c:pt idx="3">
                  <c:v>468</c:v>
                </c:pt>
                <c:pt idx="4">
                  <c:v>58</c:v>
                </c:pt>
                <c:pt idx="5">
                  <c:v>94</c:v>
                </c:pt>
                <c:pt idx="6">
                  <c:v>65</c:v>
                </c:pt>
                <c:pt idx="7">
                  <c:v>46</c:v>
                </c:pt>
                <c:pt idx="8">
                  <c:v>17</c:v>
                </c:pt>
                <c:pt idx="9">
                  <c:v>4</c:v>
                </c:pt>
              </c:numCache>
            </c:numRef>
          </c:yVal>
          <c:smooth val="1"/>
        </c:ser>
        <c:axId val="55630267"/>
        <c:axId val="85293074"/>
      </c:scatterChart>
      <c:valAx>
        <c:axId val="5563026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293074"/>
        <c:crosses val="autoZero"/>
        <c:crossBetween val="midCat"/>
      </c:valAx>
      <c:valAx>
        <c:axId val="852930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Constructor 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63026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0</xdr:rowOff>
    </xdr:from>
    <xdr:to>
      <xdr:col>7</xdr:col>
      <xdr:colOff>589320</xdr:colOff>
      <xdr:row>33</xdr:row>
      <xdr:rowOff>1080</xdr:rowOff>
    </xdr:to>
    <xdr:graphicFrame>
      <xdr:nvGraphicFramePr>
        <xdr:cNvPr id="0" name="Chart 1"/>
        <xdr:cNvGraphicFramePr/>
      </xdr:nvGraphicFramePr>
      <xdr:xfrm>
        <a:off x="0" y="323856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34</xdr:row>
      <xdr:rowOff>0</xdr:rowOff>
    </xdr:from>
    <xdr:to>
      <xdr:col>7</xdr:col>
      <xdr:colOff>589320</xdr:colOff>
      <xdr:row>51</xdr:row>
      <xdr:rowOff>1080</xdr:rowOff>
    </xdr:to>
    <xdr:graphicFrame>
      <xdr:nvGraphicFramePr>
        <xdr:cNvPr id="1" name="Chart 2"/>
        <xdr:cNvGraphicFramePr/>
      </xdr:nvGraphicFramePr>
      <xdr:xfrm>
        <a:off x="0" y="666756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PowerBISource" displayName="PowerBISource" ref="A3:J13" headerRowCount="1" totalsRowCount="0" totalsRowShown="0">
  <autoFilter ref="A3:J13"/>
  <tableColumns count="10">
    <tableColumn id="1" name="Team"/>
    <tableColumn id="2" name="Points"/>
    <tableColumn id="3" name="Revenue_USD_M"/>
    <tableColumn id="4" name="OperatingProfit_USD_M"/>
    <tableColumn id="5" name="PointsPer10MRev"/>
    <tableColumn id="6" name="OperatingMargin"/>
    <tableColumn id="7" name="EfficiencyScore"/>
    <tableColumn id="8" name="FinancialStabilityScore"/>
    <tableColumn id="9" name="RiskAdjustedScore"/>
    <tableColumn id="10" name="Rank"/>
  </tableColumns>
</table>
</file>

<file path=xl/tables/table2.xml><?xml version="1.0" encoding="utf-8"?>
<table xmlns="http://schemas.openxmlformats.org/spreadsheetml/2006/main" id="2" name="RawData" displayName="RawData" ref="A4:E14" headerRowCount="1" totalsRowCount="0" totalsRowShown="0">
  <autoFilter ref="A4:E14"/>
  <tableColumns count="5">
    <tableColumn id="1" name="Team"/>
    <tableColumn id="2" name="2024 Constructor Points"/>
    <tableColumn id="3" name="2024 Revenue ($M)"/>
    <tableColumn id="4" name="2024 Operating Profit ($M)"/>
    <tableColumn id="5" name="Notes / Sourc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1</v>
      </c>
    </row>
    <row r="5" customFormat="false" ht="15" hidden="false" customHeight="false" outlineLevel="0" collapsed="false">
      <c r="B5" s="2" t="s">
        <v>2</v>
      </c>
    </row>
    <row r="6" customFormat="false" ht="15" hidden="false" customHeight="false" outlineLevel="0" collapsed="false">
      <c r="B6" s="2" t="s">
        <v>3</v>
      </c>
    </row>
    <row r="7" customFormat="false" ht="15" hidden="false" customHeight="false" outlineLevel="0" collapsed="false">
      <c r="B7" s="2"/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2" t="s">
        <v>5</v>
      </c>
    </row>
    <row r="10" customFormat="false" ht="15" hidden="false" customHeight="false" outlineLevel="0" collapsed="false">
      <c r="B10" s="2" t="s">
        <v>6</v>
      </c>
    </row>
    <row r="11" customFormat="false" ht="15" hidden="false" customHeight="false" outlineLevel="0" collapsed="false">
      <c r="B11" s="2" t="s">
        <v>7</v>
      </c>
    </row>
    <row r="12" customFormat="false" ht="15" hidden="false" customHeight="false" outlineLevel="0" collapsed="false">
      <c r="B12" s="2" t="s">
        <v>8</v>
      </c>
    </row>
    <row r="13" customFormat="false" ht="15" hidden="false" customHeight="false" outlineLevel="0" collapsed="false">
      <c r="B13" s="2"/>
    </row>
    <row r="14" customFormat="false" ht="15" hidden="false" customHeight="false" outlineLevel="0" collapsed="false">
      <c r="B14" s="3" t="s">
        <v>9</v>
      </c>
    </row>
    <row r="15" customFormat="false" ht="15" hidden="false" customHeight="false" outlineLevel="0" collapsed="false">
      <c r="B15" s="2" t="s">
        <v>10</v>
      </c>
    </row>
    <row r="16" customFormat="false" ht="15" hidden="false" customHeight="false" outlineLevel="0" collapsed="false">
      <c r="B16" s="2" t="s">
        <v>11</v>
      </c>
    </row>
    <row r="17" customFormat="false" ht="15" hidden="false" customHeight="false" outlineLevel="0" collapsed="false">
      <c r="B17" s="2" t="s">
        <v>12</v>
      </c>
    </row>
    <row r="18" customFormat="false" ht="1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 t="s">
        <v>14</v>
      </c>
    </row>
    <row r="20" customFormat="false" ht="15" hidden="false" customHeight="false" outlineLevel="0" collapsed="false">
      <c r="B20" s="2" t="s">
        <v>15</v>
      </c>
    </row>
    <row r="21" customFormat="false" ht="15" hidden="false" customHeight="false" outlineLevel="0" collapsed="false">
      <c r="B21" s="2"/>
    </row>
    <row r="22" customFormat="false" ht="15" hidden="false" customHeight="false" outlineLevel="0" collapsed="false">
      <c r="B22" s="3" t="s">
        <v>16</v>
      </c>
    </row>
    <row r="23" customFormat="false" ht="15" hidden="false" customHeight="false" outlineLevel="0" collapsed="false">
      <c r="B23" s="2" t="s">
        <v>17</v>
      </c>
    </row>
    <row r="24" customFormat="false" ht="15" hidden="false" customHeight="false" outlineLevel="0" collapsed="false">
      <c r="B24" s="2" t="s">
        <v>18</v>
      </c>
    </row>
    <row r="25" customFormat="false" ht="15" hidden="false" customHeight="false" outlineLevel="0" collapsed="false">
      <c r="B25" s="2" t="s">
        <v>19</v>
      </c>
    </row>
    <row r="26" customFormat="false" ht="15" hidden="false" customHeight="false" outlineLevel="0" collapsed="false">
      <c r="B26" s="2" t="s">
        <v>20</v>
      </c>
    </row>
    <row r="27" customFormat="false" ht="15" hidden="false" customHeight="false" outlineLevel="0" collapsed="false">
      <c r="B27" s="2"/>
    </row>
    <row r="28" customFormat="false" ht="15" hidden="false" customHeight="false" outlineLevel="0" collapsed="false">
      <c r="B28" s="3" t="s">
        <v>21</v>
      </c>
    </row>
    <row r="29" customFormat="false" ht="15" hidden="false" customHeight="false" outlineLevel="0" collapsed="false">
      <c r="B29" s="2" t="s">
        <v>22</v>
      </c>
    </row>
  </sheetData>
  <mergeCells count="1">
    <mergeCell ref="A1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60"/>
  </cols>
  <sheetData>
    <row r="1" customFormat="false" ht="24" hidden="false" customHeight="true" outlineLevel="0" collapsed="false">
      <c r="A1" s="1" t="s">
        <v>23</v>
      </c>
      <c r="B1" s="1"/>
      <c r="C1" s="1"/>
      <c r="D1" s="1"/>
      <c r="E1" s="1"/>
    </row>
    <row r="2" customFormat="false" ht="15" hidden="false" customHeight="false" outlineLevel="0" collapsed="false">
      <c r="A2" s="4" t="s">
        <v>24</v>
      </c>
      <c r="B2" s="4"/>
      <c r="C2" s="4"/>
      <c r="D2" s="4"/>
      <c r="E2" s="4"/>
    </row>
    <row r="4" customFormat="false" ht="30" hidden="false" customHeight="true" outlineLevel="0" collapsed="false">
      <c r="A4" s="5" t="s">
        <v>25</v>
      </c>
      <c r="B4" s="5" t="s">
        <v>26</v>
      </c>
      <c r="C4" s="5" t="s">
        <v>27</v>
      </c>
      <c r="D4" s="5" t="s">
        <v>28</v>
      </c>
      <c r="E4" s="5" t="s">
        <v>29</v>
      </c>
    </row>
    <row r="5" customFormat="false" ht="15" hidden="false" customHeight="false" outlineLevel="0" collapsed="false">
      <c r="A5" s="6" t="s">
        <v>30</v>
      </c>
      <c r="B5" s="7" t="n">
        <v>666</v>
      </c>
      <c r="C5" s="8" t="n">
        <v>614</v>
      </c>
      <c r="D5" s="8" t="n">
        <v>61</v>
      </c>
      <c r="E5" s="9" t="s">
        <v>31</v>
      </c>
    </row>
    <row r="6" customFormat="false" ht="15" hidden="false" customHeight="false" outlineLevel="0" collapsed="false">
      <c r="A6" s="10" t="s">
        <v>32</v>
      </c>
      <c r="B6" s="11" t="n">
        <v>652</v>
      </c>
      <c r="C6" s="12" t="n">
        <v>670</v>
      </c>
      <c r="D6" s="12" t="n">
        <v>80</v>
      </c>
      <c r="E6" s="13" t="s">
        <v>33</v>
      </c>
    </row>
    <row r="7" customFormat="false" ht="15" hidden="false" customHeight="false" outlineLevel="0" collapsed="false">
      <c r="A7" s="6" t="s">
        <v>34</v>
      </c>
      <c r="B7" s="7" t="n">
        <v>589</v>
      </c>
      <c r="C7" s="8" t="n">
        <v>618</v>
      </c>
      <c r="D7" s="8" t="n">
        <v>26</v>
      </c>
      <c r="E7" s="9" t="s">
        <v>35</v>
      </c>
    </row>
    <row r="8" customFormat="false" ht="15" hidden="false" customHeight="false" outlineLevel="0" collapsed="false">
      <c r="A8" s="10" t="s">
        <v>36</v>
      </c>
      <c r="B8" s="11" t="n">
        <v>468</v>
      </c>
      <c r="C8" s="12" t="n">
        <v>799</v>
      </c>
      <c r="D8" s="12" t="n">
        <v>202</v>
      </c>
      <c r="E8" s="13" t="s">
        <v>37</v>
      </c>
    </row>
    <row r="9" customFormat="false" ht="15" hidden="false" customHeight="false" outlineLevel="0" collapsed="false">
      <c r="A9" s="6" t="s">
        <v>38</v>
      </c>
      <c r="B9" s="7" t="n">
        <v>94</v>
      </c>
      <c r="C9" s="8" t="n">
        <v>353</v>
      </c>
      <c r="D9" s="8" t="n">
        <v>-18</v>
      </c>
      <c r="E9" s="9" t="s">
        <v>39</v>
      </c>
    </row>
    <row r="10" customFormat="false" ht="15" hidden="false" customHeight="false" outlineLevel="0" collapsed="false">
      <c r="A10" s="10" t="s">
        <v>40</v>
      </c>
      <c r="B10" s="11" t="n">
        <v>65</v>
      </c>
      <c r="C10" s="12" t="n">
        <v>300</v>
      </c>
      <c r="D10" s="12" t="n">
        <v>-13</v>
      </c>
      <c r="E10" s="13" t="s">
        <v>41</v>
      </c>
    </row>
    <row r="11" customFormat="false" ht="15" hidden="false" customHeight="false" outlineLevel="0" collapsed="false">
      <c r="A11" s="6" t="s">
        <v>42</v>
      </c>
      <c r="B11" s="7" t="n">
        <v>58</v>
      </c>
      <c r="C11" s="8" t="n">
        <v>150</v>
      </c>
      <c r="D11" s="8" t="n">
        <v>9</v>
      </c>
      <c r="E11" s="9" t="s">
        <v>43</v>
      </c>
    </row>
    <row r="12" customFormat="false" ht="15" hidden="false" customHeight="false" outlineLevel="0" collapsed="false">
      <c r="A12" s="10" t="s">
        <v>44</v>
      </c>
      <c r="B12" s="11" t="n">
        <v>46</v>
      </c>
      <c r="C12" s="12" t="n">
        <v>318</v>
      </c>
      <c r="D12" s="12" t="n">
        <v>5</v>
      </c>
      <c r="E12" s="13" t="s">
        <v>45</v>
      </c>
    </row>
    <row r="13" customFormat="false" ht="15" hidden="false" customHeight="false" outlineLevel="0" collapsed="false">
      <c r="A13" s="6" t="s">
        <v>46</v>
      </c>
      <c r="B13" s="7" t="n">
        <v>17</v>
      </c>
      <c r="C13" s="8" t="n">
        <v>245</v>
      </c>
      <c r="D13" s="8" t="n">
        <v>-36</v>
      </c>
      <c r="E13" s="9" t="s">
        <v>47</v>
      </c>
    </row>
    <row r="14" customFormat="false" ht="15" hidden="false" customHeight="false" outlineLevel="0" collapsed="false">
      <c r="A14" s="10" t="s">
        <v>48</v>
      </c>
      <c r="B14" s="11" t="n">
        <v>4</v>
      </c>
      <c r="C14" s="12" t="n">
        <v>240</v>
      </c>
      <c r="D14" s="12" t="n">
        <v>-25</v>
      </c>
      <c r="E14" s="13" t="s">
        <v>49</v>
      </c>
    </row>
    <row r="15" customFormat="false" ht="15" hidden="false" customHeight="false" outlineLevel="0" collapsed="false">
      <c r="A15" s="14" t="s">
        <v>50</v>
      </c>
      <c r="B15" s="15" t="n">
        <f aca="false">SUM(B5:B14)</f>
        <v>2659</v>
      </c>
      <c r="C15" s="16" t="n">
        <f aca="false">AVERAGE(C5:C14)</f>
        <v>430.7</v>
      </c>
      <c r="D15" s="16" t="n">
        <f aca="false">AVERAGE(D5:D14)</f>
        <v>29.1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8" min="2" style="0" width="16"/>
    <col collapsed="false" customWidth="true" hidden="false" outlineLevel="0" max="9" min="9" style="0" width="10"/>
    <col collapsed="false" customWidth="true" hidden="false" outlineLevel="0" max="10" min="10" style="0" width="8"/>
  </cols>
  <sheetData>
    <row r="1" customFormat="false" ht="24" hidden="false" customHeight="true" outlineLevel="0" collapsed="false">
      <c r="A1" s="1" t="s">
        <v>51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17" t="s">
        <v>52</v>
      </c>
      <c r="B3" s="18" t="n">
        <v>0.7</v>
      </c>
      <c r="C3" s="19" t="s">
        <v>53</v>
      </c>
    </row>
    <row r="4" customFormat="false" ht="15" hidden="false" customHeight="false" outlineLevel="0" collapsed="false">
      <c r="A4" s="17" t="s">
        <v>54</v>
      </c>
      <c r="B4" s="20" t="n">
        <f aca="false">1-B3</f>
        <v>0.3</v>
      </c>
    </row>
    <row r="6" customFormat="false" ht="36" hidden="false" customHeight="true" outlineLevel="0" collapsed="false">
      <c r="A6" s="5" t="s">
        <v>25</v>
      </c>
      <c r="B6" s="5" t="s">
        <v>55</v>
      </c>
      <c r="C6" s="5" t="s">
        <v>56</v>
      </c>
      <c r="D6" s="5" t="s">
        <v>57</v>
      </c>
      <c r="E6" s="5" t="s">
        <v>58</v>
      </c>
      <c r="F6" s="5" t="s">
        <v>59</v>
      </c>
      <c r="G6" s="5" t="s">
        <v>60</v>
      </c>
      <c r="H6" s="5" t="s">
        <v>61</v>
      </c>
      <c r="I6" s="5" t="s">
        <v>62</v>
      </c>
      <c r="J6" s="5" t="s">
        <v>63</v>
      </c>
    </row>
    <row r="7" customFormat="false" ht="15" hidden="false" customHeight="false" outlineLevel="0" collapsed="false">
      <c r="A7" s="21" t="str">
        <f aca="false">'Raw Data'!A5</f>
        <v>McLaren</v>
      </c>
      <c r="B7" s="22" t="n">
        <f aca="false">'Raw Data'!B5</f>
        <v>666</v>
      </c>
      <c r="C7" s="23" t="n">
        <f aca="false">'Raw Data'!C5</f>
        <v>614</v>
      </c>
      <c r="D7" s="23" t="n">
        <f aca="false">'Raw Data'!D5</f>
        <v>61</v>
      </c>
      <c r="E7" s="24" t="n">
        <f aca="false">IFERROR(B7/C7*10,0)</f>
        <v>10.8469055374593</v>
      </c>
      <c r="F7" s="20" t="n">
        <f aca="false">IFERROR(D7/C7,0)</f>
        <v>0.0993485342019544</v>
      </c>
      <c r="G7" s="25" t="n">
        <f aca="false">IFERROR((E7-MIN($E$7:$E$16))/(MAX($E$7:$E$16)-MIN($E$7:$E$16))*100,0)</f>
        <v>100</v>
      </c>
      <c r="H7" s="25" t="n">
        <f aca="false">IFERROR((F7-MIN($F$7:$F$16))/(MAX($F$7:$F$16)-MIN($F$7:$F$16))*100,0)</f>
        <v>61.6095947973312</v>
      </c>
      <c r="I7" s="26" t="n">
        <f aca="false">G7*$B$3+H7*$B$4</f>
        <v>88.4828784391994</v>
      </c>
      <c r="J7" s="27" t="n">
        <f aca="false">RANK(I7,$I$7:$I$16,0)</f>
        <v>1</v>
      </c>
    </row>
    <row r="8" customFormat="false" ht="15" hidden="false" customHeight="false" outlineLevel="0" collapsed="false">
      <c r="A8" s="28" t="str">
        <f aca="false">'Raw Data'!A6</f>
        <v>Ferrari</v>
      </c>
      <c r="B8" s="29" t="n">
        <f aca="false">'Raw Data'!B6</f>
        <v>652</v>
      </c>
      <c r="C8" s="30" t="n">
        <f aca="false">'Raw Data'!C6</f>
        <v>670</v>
      </c>
      <c r="D8" s="30" t="n">
        <f aca="false">'Raw Data'!D6</f>
        <v>80</v>
      </c>
      <c r="E8" s="31" t="n">
        <f aca="false">IFERROR(B8/C8*10,0)</f>
        <v>9.73134328358209</v>
      </c>
      <c r="F8" s="32" t="n">
        <f aca="false">IFERROR(D8/C8,0)</f>
        <v>0.119402985074627</v>
      </c>
      <c r="G8" s="33" t="n">
        <f aca="false">IFERROR((E8-MIN($E$7:$E$16))/(MAX($E$7:$E$16)-MIN($E$7:$E$16))*100,0)</f>
        <v>89.5548941613288</v>
      </c>
      <c r="H8" s="33" t="n">
        <f aca="false">IFERROR((F8-MIN($F$7:$F$16))/(MAX($F$7:$F$16)-MIN($F$7:$F$16))*100,0)</f>
        <v>66.6262828012416</v>
      </c>
      <c r="I8" s="26" t="n">
        <f aca="false">G8*$B$3+H8*$B$4</f>
        <v>82.6763107533026</v>
      </c>
      <c r="J8" s="34" t="n">
        <f aca="false">RANK(I8,$I$7:$I$16,0)</f>
        <v>2</v>
      </c>
    </row>
    <row r="9" customFormat="false" ht="15" hidden="false" customHeight="false" outlineLevel="0" collapsed="false">
      <c r="A9" s="21" t="str">
        <f aca="false">'Raw Data'!A7</f>
        <v>Red Bull Racing</v>
      </c>
      <c r="B9" s="22" t="n">
        <f aca="false">'Raw Data'!B7</f>
        <v>589</v>
      </c>
      <c r="C9" s="23" t="n">
        <f aca="false">'Raw Data'!C7</f>
        <v>618</v>
      </c>
      <c r="D9" s="23" t="n">
        <f aca="false">'Raw Data'!D7</f>
        <v>26</v>
      </c>
      <c r="E9" s="24" t="n">
        <f aca="false">IFERROR(B9/C9*10,0)</f>
        <v>9.53074433656958</v>
      </c>
      <c r="F9" s="20" t="n">
        <f aca="false">IFERROR(D9/C9,0)</f>
        <v>0.0420711974110032</v>
      </c>
      <c r="G9" s="25" t="n">
        <f aca="false">IFERROR((E9-MIN($E$7:$E$16))/(MAX($E$7:$E$16)-MIN($E$7:$E$16))*100,0)</f>
        <v>87.6766688759272</v>
      </c>
      <c r="H9" s="25" t="n">
        <f aca="false">IFERROR((F9-MIN($F$7:$F$16))/(MAX($F$7:$F$16)-MIN($F$7:$F$16))*100,0)</f>
        <v>47.2814773036406</v>
      </c>
      <c r="I9" s="26" t="n">
        <f aca="false">G9*$B$3+H9*$B$4</f>
        <v>75.5581114042413</v>
      </c>
      <c r="J9" s="27" t="n">
        <f aca="false">RANK(I9,$I$7:$I$16,0)</f>
        <v>3</v>
      </c>
    </row>
    <row r="10" customFormat="false" ht="15" hidden="false" customHeight="false" outlineLevel="0" collapsed="false">
      <c r="A10" s="28" t="str">
        <f aca="false">'Raw Data'!A8</f>
        <v>Mercedes</v>
      </c>
      <c r="B10" s="29" t="n">
        <f aca="false">'Raw Data'!B8</f>
        <v>468</v>
      </c>
      <c r="C10" s="30" t="n">
        <f aca="false">'Raw Data'!C8</f>
        <v>799</v>
      </c>
      <c r="D10" s="30" t="n">
        <f aca="false">'Raw Data'!D8</f>
        <v>202</v>
      </c>
      <c r="E10" s="31" t="n">
        <f aca="false">IFERROR(B10/C10*10,0)</f>
        <v>5.85732165206508</v>
      </c>
      <c r="F10" s="32" t="n">
        <f aca="false">IFERROR(D10/C10,0)</f>
        <v>0.252816020025031</v>
      </c>
      <c r="G10" s="33" t="n">
        <f aca="false">IFERROR((E10-MIN($E$7:$E$16))/(MAX($E$7:$E$16)-MIN($E$7:$E$16))*100,0)</f>
        <v>53.2820946632638</v>
      </c>
      <c r="H10" s="33" t="n">
        <f aca="false">IFERROR((F10-MIN($F$7:$F$16))/(MAX($F$7:$F$16)-MIN($F$7:$F$16))*100,0)</f>
        <v>100</v>
      </c>
      <c r="I10" s="26" t="n">
        <f aca="false">G10*$B$3+H10*$B$4</f>
        <v>67.2974662642846</v>
      </c>
      <c r="J10" s="34" t="n">
        <f aca="false">RANK(I10,$I$7:$I$16,0)</f>
        <v>4</v>
      </c>
    </row>
    <row r="11" customFormat="false" ht="15" hidden="false" customHeight="false" outlineLevel="0" collapsed="false">
      <c r="A11" s="21" t="str">
        <f aca="false">'Raw Data'!A9</f>
        <v>Aston Martin</v>
      </c>
      <c r="B11" s="22" t="n">
        <f aca="false">'Raw Data'!B9</f>
        <v>94</v>
      </c>
      <c r="C11" s="23" t="n">
        <f aca="false">'Raw Data'!C9</f>
        <v>353</v>
      </c>
      <c r="D11" s="23" t="n">
        <f aca="false">'Raw Data'!D9</f>
        <v>-18</v>
      </c>
      <c r="E11" s="24" t="n">
        <f aca="false">IFERROR(B11/C11*10,0)</f>
        <v>2.6628895184136</v>
      </c>
      <c r="F11" s="20" t="n">
        <f aca="false">IFERROR(D11/C11,0)</f>
        <v>-0.0509915014164306</v>
      </c>
      <c r="G11" s="25" t="n">
        <f aca="false">IFERROR((E11-MIN($E$7:$E$16))/(MAX($E$7:$E$16)-MIN($E$7:$E$16))*100,0)</f>
        <v>23.3723503935233</v>
      </c>
      <c r="H11" s="25" t="n">
        <f aca="false">IFERROR((F11-MIN($F$7:$F$16))/(MAX($F$7:$F$16)-MIN($F$7:$F$16))*100,0)</f>
        <v>24.001531730297</v>
      </c>
      <c r="I11" s="26" t="n">
        <f aca="false">G11*$B$3+H11*$B$4</f>
        <v>23.5611047945554</v>
      </c>
      <c r="J11" s="27" t="n">
        <f aca="false">RANK(I11,$I$7:$I$16,0)</f>
        <v>6</v>
      </c>
    </row>
    <row r="12" customFormat="false" ht="15" hidden="false" customHeight="false" outlineLevel="0" collapsed="false">
      <c r="A12" s="28" t="str">
        <f aca="false">'Raw Data'!A10</f>
        <v>Alpine</v>
      </c>
      <c r="B12" s="29" t="n">
        <f aca="false">'Raw Data'!B10</f>
        <v>65</v>
      </c>
      <c r="C12" s="30" t="n">
        <f aca="false">'Raw Data'!C10</f>
        <v>300</v>
      </c>
      <c r="D12" s="30" t="n">
        <f aca="false">'Raw Data'!D10</f>
        <v>-13</v>
      </c>
      <c r="E12" s="31" t="n">
        <f aca="false">IFERROR(B12/C12*10,0)</f>
        <v>2.16666666666667</v>
      </c>
      <c r="F12" s="32" t="n">
        <f aca="false">IFERROR(D12/C12,0)</f>
        <v>-0.0433333333333333</v>
      </c>
      <c r="G12" s="33" t="n">
        <f aca="false">IFERROR((E12-MIN($E$7:$E$16))/(MAX($E$7:$E$16)-MIN($E$7:$E$16))*100,0)</f>
        <v>18.7261729273624</v>
      </c>
      <c r="H12" s="33" t="n">
        <f aca="false">IFERROR((F12-MIN($F$7:$F$16))/(MAX($F$7:$F$16)-MIN($F$7:$F$16))*100,0)</f>
        <v>25.9172481065931</v>
      </c>
      <c r="I12" s="26" t="n">
        <f aca="false">G12*$B$3+H12*$B$4</f>
        <v>20.8834954811316</v>
      </c>
      <c r="J12" s="34" t="n">
        <f aca="false">RANK(I12,$I$7:$I$16,0)</f>
        <v>7</v>
      </c>
    </row>
    <row r="13" customFormat="false" ht="15" hidden="false" customHeight="false" outlineLevel="0" collapsed="false">
      <c r="A13" s="21" t="str">
        <f aca="false">'Raw Data'!A11</f>
        <v>Haas</v>
      </c>
      <c r="B13" s="22" t="n">
        <f aca="false">'Raw Data'!B11</f>
        <v>58</v>
      </c>
      <c r="C13" s="23" t="n">
        <f aca="false">'Raw Data'!C11</f>
        <v>150</v>
      </c>
      <c r="D13" s="23" t="n">
        <f aca="false">'Raw Data'!D11</f>
        <v>9</v>
      </c>
      <c r="E13" s="24" t="n">
        <f aca="false">IFERROR(B13/C13*10,0)</f>
        <v>3.86666666666667</v>
      </c>
      <c r="F13" s="20" t="n">
        <f aca="false">IFERROR(D13/C13,0)</f>
        <v>0.06</v>
      </c>
      <c r="G13" s="25" t="n">
        <f aca="false">IFERROR((E13-MIN($E$7:$E$16))/(MAX($E$7:$E$16)-MIN($E$7:$E$16))*100,0)</f>
        <v>34.6434199156204</v>
      </c>
      <c r="H13" s="25" t="n">
        <f aca="false">IFERROR((F13-MIN($F$7:$F$16))/(MAX($F$7:$F$16)-MIN($F$7:$F$16))*100,0)</f>
        <v>51.7664272752831</v>
      </c>
      <c r="I13" s="26" t="n">
        <f aca="false">G13*$B$3+H13*$B$4</f>
        <v>39.7803221235192</v>
      </c>
      <c r="J13" s="27" t="n">
        <f aca="false">RANK(I13,$I$7:$I$16,0)</f>
        <v>5</v>
      </c>
    </row>
    <row r="14" customFormat="false" ht="15" hidden="false" customHeight="false" outlineLevel="0" collapsed="false">
      <c r="A14" s="28" t="str">
        <f aca="false">'Raw Data'!A12</f>
        <v>Racing Bulls (RB)</v>
      </c>
      <c r="B14" s="29" t="n">
        <f aca="false">'Raw Data'!B12</f>
        <v>46</v>
      </c>
      <c r="C14" s="30" t="n">
        <f aca="false">'Raw Data'!C12</f>
        <v>318</v>
      </c>
      <c r="D14" s="30" t="n">
        <f aca="false">'Raw Data'!D12</f>
        <v>5</v>
      </c>
      <c r="E14" s="31" t="n">
        <f aca="false">IFERROR(B14/C14*10,0)</f>
        <v>1.44654088050314</v>
      </c>
      <c r="F14" s="32" t="n">
        <f aca="false">IFERROR(D14/C14,0)</f>
        <v>0.0157232704402516</v>
      </c>
      <c r="G14" s="33" t="n">
        <f aca="false">IFERROR((E14-MIN($E$7:$E$16))/(MAX($E$7:$E$16)-MIN($E$7:$E$16))*100,0)</f>
        <v>11.9835729267869</v>
      </c>
      <c r="H14" s="33" t="n">
        <f aca="false">IFERROR((F14-MIN($F$7:$F$16))/(MAX($F$7:$F$16)-MIN($F$7:$F$16))*100,0)</f>
        <v>40.6904551908292</v>
      </c>
      <c r="I14" s="26" t="n">
        <f aca="false">G14*$B$3+H14*$B$4</f>
        <v>20.5956376059996</v>
      </c>
      <c r="J14" s="34" t="n">
        <f aca="false">RANK(I14,$I$7:$I$16,0)</f>
        <v>8</v>
      </c>
    </row>
    <row r="15" customFormat="false" ht="15" hidden="false" customHeight="false" outlineLevel="0" collapsed="false">
      <c r="A15" s="21" t="str">
        <f aca="false">'Raw Data'!A13</f>
        <v>Williams</v>
      </c>
      <c r="B15" s="22" t="n">
        <f aca="false">'Raw Data'!B13</f>
        <v>17</v>
      </c>
      <c r="C15" s="23" t="n">
        <f aca="false">'Raw Data'!C13</f>
        <v>245</v>
      </c>
      <c r="D15" s="23" t="n">
        <f aca="false">'Raw Data'!D13</f>
        <v>-36</v>
      </c>
      <c r="E15" s="24" t="n">
        <f aca="false">IFERROR(B15/C15*10,0)</f>
        <v>0.693877551020408</v>
      </c>
      <c r="F15" s="20" t="n">
        <f aca="false">IFERROR(D15/C15,0)</f>
        <v>-0.146938775510204</v>
      </c>
      <c r="G15" s="25" t="n">
        <f aca="false">IFERROR((E15-MIN($E$7:$E$16))/(MAX($E$7:$E$16)-MIN($E$7:$E$16))*100,0)</f>
        <v>4.93632109479791</v>
      </c>
      <c r="H15" s="25" t="n">
        <f aca="false">IFERROR((F15-MIN($F$7:$F$16))/(MAX($F$7:$F$16)-MIN($F$7:$F$16))*100,0)</f>
        <v>0</v>
      </c>
      <c r="I15" s="26" t="n">
        <f aca="false">G15*$B$3+H15*$B$4</f>
        <v>3.45542476635853</v>
      </c>
      <c r="J15" s="27" t="n">
        <f aca="false">RANK(I15,$I$7:$I$16,0)</f>
        <v>9</v>
      </c>
    </row>
    <row r="16" customFormat="false" ht="15" hidden="false" customHeight="false" outlineLevel="0" collapsed="false">
      <c r="A16" s="28" t="str">
        <f aca="false">'Raw Data'!A14</f>
        <v>Sauber</v>
      </c>
      <c r="B16" s="29" t="n">
        <f aca="false">'Raw Data'!B14</f>
        <v>4</v>
      </c>
      <c r="C16" s="30" t="n">
        <f aca="false">'Raw Data'!C14</f>
        <v>240</v>
      </c>
      <c r="D16" s="30" t="n">
        <f aca="false">'Raw Data'!D14</f>
        <v>-25</v>
      </c>
      <c r="E16" s="31" t="n">
        <f aca="false">IFERROR(B16/C16*10,0)</f>
        <v>0.166666666666667</v>
      </c>
      <c r="F16" s="32" t="n">
        <f aca="false">IFERROR(D16/C16,0)</f>
        <v>-0.104166666666667</v>
      </c>
      <c r="G16" s="33" t="n">
        <f aca="false">IFERROR((E16-MIN($E$7:$E$16))/(MAX($E$7:$E$16)-MIN($E$7:$E$16))*100,0)</f>
        <v>0</v>
      </c>
      <c r="H16" s="33" t="n">
        <f aca="false">IFERROR((F16-MIN($F$7:$F$16))/(MAX($F$7:$F$16)-MIN($F$7:$F$16))*100,0)</f>
        <v>10.6995861766385</v>
      </c>
      <c r="I16" s="26" t="n">
        <f aca="false">G16*$B$3+H16*$B$4</f>
        <v>3.20987585299154</v>
      </c>
      <c r="J16" s="34" t="n">
        <f aca="false">RANK(I16,$I$7:$I$16,0)</f>
        <v>10</v>
      </c>
    </row>
    <row r="18" customFormat="false" ht="15" hidden="false" customHeight="false" outlineLevel="0" collapsed="false">
      <c r="A18" s="4" t="s">
        <v>64</v>
      </c>
      <c r="B18" s="4"/>
      <c r="C18" s="4"/>
      <c r="D18" s="4"/>
      <c r="E18" s="4"/>
      <c r="F18" s="4"/>
      <c r="G18" s="4"/>
      <c r="H18" s="4"/>
      <c r="I18" s="4"/>
      <c r="J18" s="4"/>
    </row>
    <row r="19" customFormat="false" ht="15" hidden="false" customHeight="false" outlineLevel="0" collapsed="false">
      <c r="A19" s="4" t="s">
        <v>65</v>
      </c>
      <c r="B19" s="4"/>
      <c r="C19" s="4"/>
      <c r="D19" s="4"/>
      <c r="E19" s="4"/>
      <c r="F19" s="4"/>
      <c r="G19" s="4"/>
      <c r="H19" s="4"/>
      <c r="I19" s="4"/>
      <c r="J19" s="4"/>
    </row>
  </sheetData>
  <mergeCells count="3">
    <mergeCell ref="A1:I1"/>
    <mergeCell ref="A18:J18"/>
    <mergeCell ref="A19:J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12" min="2" style="0" width="14"/>
  </cols>
  <sheetData>
    <row r="1" customFormat="false" ht="15" hidden="false" customHeight="false" outlineLevel="0" collapsed="false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customFormat="false" ht="30" hidden="false" customHeight="true" outlineLevel="0" collapsed="false">
      <c r="A4" s="5" t="s">
        <v>63</v>
      </c>
      <c r="B4" s="5" t="s">
        <v>25</v>
      </c>
      <c r="C4" s="5" t="s">
        <v>55</v>
      </c>
      <c r="D4" s="5" t="s">
        <v>56</v>
      </c>
      <c r="E4" s="5" t="s">
        <v>57</v>
      </c>
      <c r="F4" s="5" t="s">
        <v>67</v>
      </c>
      <c r="G4" s="5" t="s">
        <v>68</v>
      </c>
      <c r="H4" s="5" t="s">
        <v>62</v>
      </c>
    </row>
    <row r="5" customFormat="false" ht="15" hidden="false" customHeight="false" outlineLevel="0" collapsed="false">
      <c r="A5" s="35" t="n">
        <v>1</v>
      </c>
      <c r="B5" s="36" t="str">
        <f aca="false">INDEX(Calculations!$A$7:$A$16,MATCH(A5,Calculations!$J$7:$J$16,0))</f>
        <v>McLaren</v>
      </c>
      <c r="C5" s="27" t="n">
        <f aca="false">INDEX(Calculations!$B$7:$B$16,MATCH($A5,Calculations!$J$7:$J$16,0))</f>
        <v>666</v>
      </c>
      <c r="D5" s="37" t="n">
        <f aca="false">INDEX(Calculations!$C$7:$C$16,MATCH($A5,Calculations!$J$7:$J$16,0))</f>
        <v>614</v>
      </c>
      <c r="E5" s="37" t="n">
        <f aca="false">INDEX(Calculations!$D$7:$D$16,MATCH($A5,Calculations!$J$7:$J$16,0))</f>
        <v>61</v>
      </c>
      <c r="F5" s="24" t="n">
        <f aca="false">INDEX(Calculations!$E$7:$E$16,MATCH($A5,Calculations!$J$7:$J$16,0))</f>
        <v>10.8469055374593</v>
      </c>
      <c r="G5" s="20" t="n">
        <f aca="false">INDEX(Calculations!$F$7:$F$16,MATCH($A5,Calculations!$J$7:$J$16,0))</f>
        <v>0.0993485342019544</v>
      </c>
      <c r="H5" s="38" t="n">
        <f aca="false">INDEX(Calculations!$I$7:$I$16,MATCH($A5,Calculations!$J$7:$J$16,0))</f>
        <v>88.4828784391994</v>
      </c>
    </row>
    <row r="6" customFormat="false" ht="15" hidden="false" customHeight="false" outlineLevel="0" collapsed="false">
      <c r="A6" s="39" t="n">
        <v>2</v>
      </c>
      <c r="B6" s="40" t="str">
        <f aca="false">INDEX(Calculations!$A$7:$A$16,MATCH(A6,Calculations!$J$7:$J$16,0))</f>
        <v>Ferrari</v>
      </c>
      <c r="C6" s="34" t="n">
        <f aca="false">INDEX(Calculations!$B$7:$B$16,MATCH($A6,Calculations!$J$7:$J$16,0))</f>
        <v>652</v>
      </c>
      <c r="D6" s="41" t="n">
        <f aca="false">INDEX(Calculations!$C$7:$C$16,MATCH($A6,Calculations!$J$7:$J$16,0))</f>
        <v>670</v>
      </c>
      <c r="E6" s="41" t="n">
        <f aca="false">INDEX(Calculations!$D$7:$D$16,MATCH($A6,Calculations!$J$7:$J$16,0))</f>
        <v>80</v>
      </c>
      <c r="F6" s="31" t="n">
        <f aca="false">INDEX(Calculations!$E$7:$E$16,MATCH($A6,Calculations!$J$7:$J$16,0))</f>
        <v>9.73134328358209</v>
      </c>
      <c r="G6" s="32" t="n">
        <f aca="false">INDEX(Calculations!$F$7:$F$16,MATCH($A6,Calculations!$J$7:$J$16,0))</f>
        <v>0.119402985074627</v>
      </c>
      <c r="H6" s="42" t="n">
        <f aca="false">INDEX(Calculations!$I$7:$I$16,MATCH($A6,Calculations!$J$7:$J$16,0))</f>
        <v>82.6763107533026</v>
      </c>
    </row>
    <row r="7" customFormat="false" ht="15" hidden="false" customHeight="false" outlineLevel="0" collapsed="false">
      <c r="A7" s="35" t="n">
        <v>3</v>
      </c>
      <c r="B7" s="36" t="str">
        <f aca="false">INDEX(Calculations!$A$7:$A$16,MATCH(A7,Calculations!$J$7:$J$16,0))</f>
        <v>Red Bull Racing</v>
      </c>
      <c r="C7" s="27" t="n">
        <f aca="false">INDEX(Calculations!$B$7:$B$16,MATCH($A7,Calculations!$J$7:$J$16,0))</f>
        <v>589</v>
      </c>
      <c r="D7" s="37" t="n">
        <f aca="false">INDEX(Calculations!$C$7:$C$16,MATCH($A7,Calculations!$J$7:$J$16,0))</f>
        <v>618</v>
      </c>
      <c r="E7" s="37" t="n">
        <f aca="false">INDEX(Calculations!$D$7:$D$16,MATCH($A7,Calculations!$J$7:$J$16,0))</f>
        <v>26</v>
      </c>
      <c r="F7" s="24" t="n">
        <f aca="false">INDEX(Calculations!$E$7:$E$16,MATCH($A7,Calculations!$J$7:$J$16,0))</f>
        <v>9.53074433656958</v>
      </c>
      <c r="G7" s="20" t="n">
        <f aca="false">INDEX(Calculations!$F$7:$F$16,MATCH($A7,Calculations!$J$7:$J$16,0))</f>
        <v>0.0420711974110032</v>
      </c>
      <c r="H7" s="38" t="n">
        <f aca="false">INDEX(Calculations!$I$7:$I$16,MATCH($A7,Calculations!$J$7:$J$16,0))</f>
        <v>75.5581114042413</v>
      </c>
    </row>
    <row r="8" customFormat="false" ht="15" hidden="false" customHeight="false" outlineLevel="0" collapsed="false">
      <c r="A8" s="39" t="n">
        <v>4</v>
      </c>
      <c r="B8" s="40" t="str">
        <f aca="false">INDEX(Calculations!$A$7:$A$16,MATCH(A8,Calculations!$J$7:$J$16,0))</f>
        <v>Mercedes</v>
      </c>
      <c r="C8" s="34" t="n">
        <f aca="false">INDEX(Calculations!$B$7:$B$16,MATCH($A8,Calculations!$J$7:$J$16,0))</f>
        <v>468</v>
      </c>
      <c r="D8" s="41" t="n">
        <f aca="false">INDEX(Calculations!$C$7:$C$16,MATCH($A8,Calculations!$J$7:$J$16,0))</f>
        <v>799</v>
      </c>
      <c r="E8" s="41" t="n">
        <f aca="false">INDEX(Calculations!$D$7:$D$16,MATCH($A8,Calculations!$J$7:$J$16,0))</f>
        <v>202</v>
      </c>
      <c r="F8" s="31" t="n">
        <f aca="false">INDEX(Calculations!$E$7:$E$16,MATCH($A8,Calculations!$J$7:$J$16,0))</f>
        <v>5.85732165206508</v>
      </c>
      <c r="G8" s="32" t="n">
        <f aca="false">INDEX(Calculations!$F$7:$F$16,MATCH($A8,Calculations!$J$7:$J$16,0))</f>
        <v>0.252816020025031</v>
      </c>
      <c r="H8" s="42" t="n">
        <f aca="false">INDEX(Calculations!$I$7:$I$16,MATCH($A8,Calculations!$J$7:$J$16,0))</f>
        <v>67.2974662642846</v>
      </c>
    </row>
    <row r="9" customFormat="false" ht="15" hidden="false" customHeight="false" outlineLevel="0" collapsed="false">
      <c r="A9" s="35" t="n">
        <v>5</v>
      </c>
      <c r="B9" s="36" t="str">
        <f aca="false">INDEX(Calculations!$A$7:$A$16,MATCH(A9,Calculations!$J$7:$J$16,0))</f>
        <v>Haas</v>
      </c>
      <c r="C9" s="27" t="n">
        <f aca="false">INDEX(Calculations!$B$7:$B$16,MATCH($A9,Calculations!$J$7:$J$16,0))</f>
        <v>58</v>
      </c>
      <c r="D9" s="37" t="n">
        <f aca="false">INDEX(Calculations!$C$7:$C$16,MATCH($A9,Calculations!$J$7:$J$16,0))</f>
        <v>150</v>
      </c>
      <c r="E9" s="37" t="n">
        <f aca="false">INDEX(Calculations!$D$7:$D$16,MATCH($A9,Calculations!$J$7:$J$16,0))</f>
        <v>9</v>
      </c>
      <c r="F9" s="24" t="n">
        <f aca="false">INDEX(Calculations!$E$7:$E$16,MATCH($A9,Calculations!$J$7:$J$16,0))</f>
        <v>3.86666666666667</v>
      </c>
      <c r="G9" s="20" t="n">
        <f aca="false">INDEX(Calculations!$F$7:$F$16,MATCH($A9,Calculations!$J$7:$J$16,0))</f>
        <v>0.06</v>
      </c>
      <c r="H9" s="38" t="n">
        <f aca="false">INDEX(Calculations!$I$7:$I$16,MATCH($A9,Calculations!$J$7:$J$16,0))</f>
        <v>39.7803221235192</v>
      </c>
    </row>
    <row r="10" customFormat="false" ht="15" hidden="false" customHeight="false" outlineLevel="0" collapsed="false">
      <c r="A10" s="39" t="n">
        <v>6</v>
      </c>
      <c r="B10" s="40" t="str">
        <f aca="false">INDEX(Calculations!$A$7:$A$16,MATCH(A10,Calculations!$J$7:$J$16,0))</f>
        <v>Aston Martin</v>
      </c>
      <c r="C10" s="34" t="n">
        <f aca="false">INDEX(Calculations!$B$7:$B$16,MATCH($A10,Calculations!$J$7:$J$16,0))</f>
        <v>94</v>
      </c>
      <c r="D10" s="41" t="n">
        <f aca="false">INDEX(Calculations!$C$7:$C$16,MATCH($A10,Calculations!$J$7:$J$16,0))</f>
        <v>353</v>
      </c>
      <c r="E10" s="41" t="n">
        <f aca="false">INDEX(Calculations!$D$7:$D$16,MATCH($A10,Calculations!$J$7:$J$16,0))</f>
        <v>-18</v>
      </c>
      <c r="F10" s="31" t="n">
        <f aca="false">INDEX(Calculations!$E$7:$E$16,MATCH($A10,Calculations!$J$7:$J$16,0))</f>
        <v>2.6628895184136</v>
      </c>
      <c r="G10" s="32" t="n">
        <f aca="false">INDEX(Calculations!$F$7:$F$16,MATCH($A10,Calculations!$J$7:$J$16,0))</f>
        <v>-0.0509915014164306</v>
      </c>
      <c r="H10" s="42" t="n">
        <f aca="false">INDEX(Calculations!$I$7:$I$16,MATCH($A10,Calculations!$J$7:$J$16,0))</f>
        <v>23.5611047945554</v>
      </c>
    </row>
    <row r="11" customFormat="false" ht="15" hidden="false" customHeight="false" outlineLevel="0" collapsed="false">
      <c r="A11" s="35" t="n">
        <v>7</v>
      </c>
      <c r="B11" s="36" t="str">
        <f aca="false">INDEX(Calculations!$A$7:$A$16,MATCH(A11,Calculations!$J$7:$J$16,0))</f>
        <v>Alpine</v>
      </c>
      <c r="C11" s="27" t="n">
        <f aca="false">INDEX(Calculations!$B$7:$B$16,MATCH($A11,Calculations!$J$7:$J$16,0))</f>
        <v>65</v>
      </c>
      <c r="D11" s="37" t="n">
        <f aca="false">INDEX(Calculations!$C$7:$C$16,MATCH($A11,Calculations!$J$7:$J$16,0))</f>
        <v>300</v>
      </c>
      <c r="E11" s="37" t="n">
        <f aca="false">INDEX(Calculations!$D$7:$D$16,MATCH($A11,Calculations!$J$7:$J$16,0))</f>
        <v>-13</v>
      </c>
      <c r="F11" s="24" t="n">
        <f aca="false">INDEX(Calculations!$E$7:$E$16,MATCH($A11,Calculations!$J$7:$J$16,0))</f>
        <v>2.16666666666667</v>
      </c>
      <c r="G11" s="20" t="n">
        <f aca="false">INDEX(Calculations!$F$7:$F$16,MATCH($A11,Calculations!$J$7:$J$16,0))</f>
        <v>-0.0433333333333333</v>
      </c>
      <c r="H11" s="38" t="n">
        <f aca="false">INDEX(Calculations!$I$7:$I$16,MATCH($A11,Calculations!$J$7:$J$16,0))</f>
        <v>20.8834954811316</v>
      </c>
    </row>
    <row r="12" customFormat="false" ht="15" hidden="false" customHeight="false" outlineLevel="0" collapsed="false">
      <c r="A12" s="39" t="n">
        <v>8</v>
      </c>
      <c r="B12" s="40" t="str">
        <f aca="false">INDEX(Calculations!$A$7:$A$16,MATCH(A12,Calculations!$J$7:$J$16,0))</f>
        <v>Racing Bulls (RB)</v>
      </c>
      <c r="C12" s="34" t="n">
        <f aca="false">INDEX(Calculations!$B$7:$B$16,MATCH($A12,Calculations!$J$7:$J$16,0))</f>
        <v>46</v>
      </c>
      <c r="D12" s="41" t="n">
        <f aca="false">INDEX(Calculations!$C$7:$C$16,MATCH($A12,Calculations!$J$7:$J$16,0))</f>
        <v>318</v>
      </c>
      <c r="E12" s="41" t="n">
        <f aca="false">INDEX(Calculations!$D$7:$D$16,MATCH($A12,Calculations!$J$7:$J$16,0))</f>
        <v>5</v>
      </c>
      <c r="F12" s="31" t="n">
        <f aca="false">INDEX(Calculations!$E$7:$E$16,MATCH($A12,Calculations!$J$7:$J$16,0))</f>
        <v>1.44654088050314</v>
      </c>
      <c r="G12" s="32" t="n">
        <f aca="false">INDEX(Calculations!$F$7:$F$16,MATCH($A12,Calculations!$J$7:$J$16,0))</f>
        <v>0.0157232704402516</v>
      </c>
      <c r="H12" s="42" t="n">
        <f aca="false">INDEX(Calculations!$I$7:$I$16,MATCH($A12,Calculations!$J$7:$J$16,0))</f>
        <v>20.5956376059996</v>
      </c>
    </row>
    <row r="13" customFormat="false" ht="15" hidden="false" customHeight="false" outlineLevel="0" collapsed="false">
      <c r="A13" s="35" t="n">
        <v>9</v>
      </c>
      <c r="B13" s="36" t="str">
        <f aca="false">INDEX(Calculations!$A$7:$A$16,MATCH(A13,Calculations!$J$7:$J$16,0))</f>
        <v>Williams</v>
      </c>
      <c r="C13" s="27" t="n">
        <f aca="false">INDEX(Calculations!$B$7:$B$16,MATCH($A13,Calculations!$J$7:$J$16,0))</f>
        <v>17</v>
      </c>
      <c r="D13" s="37" t="n">
        <f aca="false">INDEX(Calculations!$C$7:$C$16,MATCH($A13,Calculations!$J$7:$J$16,0))</f>
        <v>245</v>
      </c>
      <c r="E13" s="37" t="n">
        <f aca="false">INDEX(Calculations!$D$7:$D$16,MATCH($A13,Calculations!$J$7:$J$16,0))</f>
        <v>-36</v>
      </c>
      <c r="F13" s="24" t="n">
        <f aca="false">INDEX(Calculations!$E$7:$E$16,MATCH($A13,Calculations!$J$7:$J$16,0))</f>
        <v>0.693877551020408</v>
      </c>
      <c r="G13" s="20" t="n">
        <f aca="false">INDEX(Calculations!$F$7:$F$16,MATCH($A13,Calculations!$J$7:$J$16,0))</f>
        <v>-0.146938775510204</v>
      </c>
      <c r="H13" s="38" t="n">
        <f aca="false">INDEX(Calculations!$I$7:$I$16,MATCH($A13,Calculations!$J$7:$J$16,0))</f>
        <v>3.45542476635853</v>
      </c>
    </row>
    <row r="14" customFormat="false" ht="15" hidden="false" customHeight="false" outlineLevel="0" collapsed="false">
      <c r="A14" s="39" t="n">
        <v>10</v>
      </c>
      <c r="B14" s="40" t="str">
        <f aca="false">INDEX(Calculations!$A$7:$A$16,MATCH(A14,Calculations!$J$7:$J$16,0))</f>
        <v>Sauber</v>
      </c>
      <c r="C14" s="34" t="n">
        <f aca="false">INDEX(Calculations!$B$7:$B$16,MATCH($A14,Calculations!$J$7:$J$16,0))</f>
        <v>4</v>
      </c>
      <c r="D14" s="41" t="n">
        <f aca="false">INDEX(Calculations!$C$7:$C$16,MATCH($A14,Calculations!$J$7:$J$16,0))</f>
        <v>240</v>
      </c>
      <c r="E14" s="41" t="n">
        <f aca="false">INDEX(Calculations!$D$7:$D$16,MATCH($A14,Calculations!$J$7:$J$16,0))</f>
        <v>-25</v>
      </c>
      <c r="F14" s="31" t="n">
        <f aca="false">INDEX(Calculations!$E$7:$E$16,MATCH($A14,Calculations!$J$7:$J$16,0))</f>
        <v>0.166666666666667</v>
      </c>
      <c r="G14" s="32" t="n">
        <f aca="false">INDEX(Calculations!$F$7:$F$16,MATCH($A14,Calculations!$J$7:$J$16,0))</f>
        <v>-0.104166666666667</v>
      </c>
      <c r="H14" s="42" t="n">
        <f aca="false">INDEX(Calculations!$I$7:$I$16,MATCH($A14,Calculations!$J$7:$J$16,0))</f>
        <v>3.20987585299154</v>
      </c>
    </row>
    <row r="53" customFormat="false" ht="16.15" hidden="false" customHeight="false" outlineLevel="0" collapsed="false">
      <c r="A53" s="43" t="s">
        <v>69</v>
      </c>
      <c r="B53" s="43"/>
      <c r="C53" s="43"/>
      <c r="D53" s="43"/>
      <c r="E53" s="43"/>
      <c r="F53" s="43"/>
      <c r="G53" s="43"/>
      <c r="H53" s="43"/>
    </row>
    <row r="54" customFormat="false" ht="15" hidden="false" customHeight="true" outlineLevel="0" collapsed="false">
      <c r="A54" s="44" t="s">
        <v>70</v>
      </c>
      <c r="B54" s="44"/>
      <c r="C54" s="44"/>
      <c r="D54" s="44"/>
      <c r="E54" s="44"/>
      <c r="F54" s="44"/>
      <c r="G54" s="44"/>
      <c r="H54" s="44"/>
    </row>
    <row r="55" customFormat="false" ht="15" hidden="false" customHeight="true" outlineLevel="0" collapsed="false">
      <c r="A55" s="44" t="s">
        <v>71</v>
      </c>
      <c r="B55" s="44"/>
      <c r="C55" s="44"/>
      <c r="D55" s="44"/>
      <c r="E55" s="44"/>
      <c r="F55" s="44"/>
      <c r="G55" s="44"/>
      <c r="H55" s="44"/>
    </row>
    <row r="56" customFormat="false" ht="15" hidden="false" customHeight="true" outlineLevel="0" collapsed="false">
      <c r="A56" s="44" t="s">
        <v>72</v>
      </c>
      <c r="B56" s="44"/>
      <c r="C56" s="44"/>
      <c r="D56" s="44"/>
      <c r="E56" s="44"/>
      <c r="F56" s="44"/>
      <c r="G56" s="44"/>
      <c r="H56" s="44"/>
    </row>
    <row r="57" customFormat="false" ht="15" hidden="false" customHeight="false" outlineLevel="0" collapsed="false">
      <c r="A57" s="44"/>
      <c r="B57" s="44"/>
      <c r="C57" s="44"/>
      <c r="D57" s="44"/>
      <c r="E57" s="44"/>
      <c r="F57" s="44"/>
      <c r="G57" s="44"/>
      <c r="H57" s="44"/>
    </row>
    <row r="58" customFormat="false" ht="15" hidden="false" customHeight="true" outlineLevel="0" collapsed="false">
      <c r="A58" s="44" t="s">
        <v>73</v>
      </c>
      <c r="B58" s="44"/>
      <c r="C58" s="44"/>
      <c r="D58" s="44"/>
      <c r="E58" s="44"/>
      <c r="F58" s="44"/>
      <c r="G58" s="44"/>
      <c r="H58" s="44"/>
    </row>
    <row r="59" customFormat="false" ht="15" hidden="false" customHeight="true" outlineLevel="0" collapsed="false">
      <c r="A59" s="44" t="s">
        <v>74</v>
      </c>
      <c r="B59" s="44"/>
      <c r="C59" s="44"/>
      <c r="D59" s="44"/>
      <c r="E59" s="44"/>
      <c r="F59" s="44"/>
      <c r="G59" s="44"/>
      <c r="H59" s="44"/>
    </row>
    <row r="60" customFormat="false" ht="15" hidden="false" customHeight="true" outlineLevel="0" collapsed="false">
      <c r="A60" s="44" t="s">
        <v>75</v>
      </c>
      <c r="B60" s="44"/>
      <c r="C60" s="44"/>
      <c r="D60" s="44"/>
      <c r="E60" s="44"/>
      <c r="F60" s="44"/>
      <c r="G60" s="44"/>
      <c r="H60" s="44"/>
    </row>
    <row r="61" customFormat="false" ht="15" hidden="false" customHeight="true" outlineLevel="0" collapsed="false">
      <c r="A61" s="44" t="s">
        <v>76</v>
      </c>
      <c r="B61" s="44"/>
      <c r="C61" s="44"/>
      <c r="D61" s="44"/>
      <c r="E61" s="44"/>
      <c r="F61" s="44"/>
      <c r="G61" s="44"/>
      <c r="H61" s="44"/>
    </row>
    <row r="62" customFormat="false" ht="15" hidden="false" customHeight="false" outlineLevel="0" collapsed="false">
      <c r="A62" s="44"/>
      <c r="B62" s="44"/>
      <c r="C62" s="44"/>
      <c r="D62" s="44"/>
      <c r="E62" s="44"/>
      <c r="F62" s="44"/>
      <c r="G62" s="44"/>
      <c r="H62" s="44"/>
    </row>
    <row r="63" customFormat="false" ht="15" hidden="false" customHeight="true" outlineLevel="0" collapsed="false">
      <c r="A63" s="44" t="s">
        <v>77</v>
      </c>
      <c r="B63" s="44"/>
      <c r="C63" s="44"/>
      <c r="D63" s="44"/>
      <c r="E63" s="44"/>
      <c r="F63" s="44"/>
      <c r="G63" s="44"/>
      <c r="H63" s="44"/>
    </row>
    <row r="64" customFormat="false" ht="15" hidden="false" customHeight="true" outlineLevel="0" collapsed="false">
      <c r="A64" s="44" t="s">
        <v>78</v>
      </c>
      <c r="B64" s="44"/>
      <c r="C64" s="44"/>
      <c r="D64" s="44"/>
      <c r="E64" s="44"/>
      <c r="F64" s="44"/>
      <c r="G64" s="44"/>
      <c r="H64" s="44"/>
    </row>
    <row r="65" customFormat="false" ht="15" hidden="false" customHeight="true" outlineLevel="0" collapsed="false">
      <c r="A65" s="44" t="s">
        <v>79</v>
      </c>
      <c r="B65" s="44"/>
      <c r="C65" s="44"/>
      <c r="D65" s="44"/>
      <c r="E65" s="44"/>
      <c r="F65" s="44"/>
      <c r="G65" s="44"/>
      <c r="H65" s="44"/>
    </row>
    <row r="66" customFormat="false" ht="15" hidden="false" customHeight="false" outlineLevel="0" collapsed="false">
      <c r="A66" s="44"/>
      <c r="B66" s="44"/>
      <c r="C66" s="44"/>
      <c r="D66" s="44"/>
      <c r="E66" s="44"/>
      <c r="F66" s="44"/>
      <c r="G66" s="44"/>
      <c r="H66" s="44"/>
    </row>
    <row r="67" customFormat="false" ht="15" hidden="false" customHeight="true" outlineLevel="0" collapsed="false">
      <c r="A67" s="44" t="s">
        <v>80</v>
      </c>
      <c r="B67" s="44"/>
      <c r="C67" s="44"/>
      <c r="D67" s="44"/>
      <c r="E67" s="44"/>
      <c r="F67" s="44"/>
      <c r="G67" s="44"/>
      <c r="H67" s="44"/>
    </row>
    <row r="68" customFormat="false" ht="15" hidden="false" customHeight="true" outlineLevel="0" collapsed="false">
      <c r="A68" s="44" t="s">
        <v>81</v>
      </c>
      <c r="B68" s="44"/>
      <c r="C68" s="44"/>
      <c r="D68" s="44"/>
      <c r="E68" s="44"/>
      <c r="F68" s="44"/>
      <c r="G68" s="44"/>
      <c r="H68" s="44"/>
    </row>
    <row r="69" customFormat="false" ht="15" hidden="false" customHeight="true" outlineLevel="0" collapsed="false">
      <c r="A69" s="44" t="s">
        <v>82</v>
      </c>
      <c r="B69" s="44"/>
      <c r="C69" s="44"/>
      <c r="D69" s="44"/>
      <c r="E69" s="44"/>
      <c r="F69" s="44"/>
      <c r="G69" s="44"/>
      <c r="H69" s="44"/>
    </row>
    <row r="70" customFormat="false" ht="15" hidden="false" customHeight="true" outlineLevel="0" collapsed="false">
      <c r="A70" s="44" t="s">
        <v>83</v>
      </c>
      <c r="B70" s="44"/>
      <c r="C70" s="44"/>
      <c r="D70" s="44"/>
      <c r="E70" s="44"/>
      <c r="F70" s="44"/>
      <c r="G70" s="44"/>
      <c r="H70" s="44"/>
    </row>
    <row r="71" customFormat="false" ht="15" hidden="false" customHeight="false" outlineLevel="0" collapsed="false">
      <c r="A71" s="44"/>
      <c r="B71" s="44"/>
      <c r="C71" s="44"/>
      <c r="D71" s="44"/>
      <c r="E71" s="44"/>
      <c r="F71" s="44"/>
      <c r="G71" s="44"/>
      <c r="H71" s="44"/>
    </row>
    <row r="72" customFormat="false" ht="15" hidden="false" customHeight="true" outlineLevel="0" collapsed="false">
      <c r="A72" s="44" t="s">
        <v>84</v>
      </c>
      <c r="B72" s="44"/>
      <c r="C72" s="44"/>
      <c r="D72" s="44"/>
      <c r="E72" s="44"/>
      <c r="F72" s="44"/>
      <c r="G72" s="44"/>
      <c r="H72" s="44"/>
    </row>
    <row r="73" customFormat="false" ht="15" hidden="false" customHeight="true" outlineLevel="0" collapsed="false">
      <c r="A73" s="44" t="s">
        <v>85</v>
      </c>
      <c r="B73" s="44"/>
      <c r="C73" s="44"/>
      <c r="D73" s="44"/>
      <c r="E73" s="44"/>
      <c r="F73" s="44"/>
      <c r="G73" s="44"/>
      <c r="H73" s="44"/>
    </row>
  </sheetData>
  <mergeCells count="22">
    <mergeCell ref="A1:L2"/>
    <mergeCell ref="A53:H53"/>
    <mergeCell ref="A54:H54"/>
    <mergeCell ref="A55:H55"/>
    <mergeCell ref="A56:H56"/>
    <mergeCell ref="A57:H57"/>
    <mergeCell ref="A58:H58"/>
    <mergeCell ref="A59:H59"/>
    <mergeCell ref="A60:H60"/>
    <mergeCell ref="A61:H61"/>
    <mergeCell ref="A62:H62"/>
    <mergeCell ref="A63:H63"/>
    <mergeCell ref="A64:H64"/>
    <mergeCell ref="A65:H65"/>
    <mergeCell ref="A66:H66"/>
    <mergeCell ref="A67:H67"/>
    <mergeCell ref="A68:H68"/>
    <mergeCell ref="A69:H69"/>
    <mergeCell ref="A70:H70"/>
    <mergeCell ref="A71:H71"/>
    <mergeCell ref="A72:H72"/>
    <mergeCell ref="A73:H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4"/>
    <col collapsed="false" customWidth="true" hidden="false" outlineLevel="0" max="6" min="4" style="0" width="16"/>
    <col collapsed="false" customWidth="true" hidden="false" outlineLevel="0" max="7" min="7" style="0" width="22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86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30" hidden="false" customHeight="true" outlineLevel="0" collapsed="false">
      <c r="A3" s="5" t="s">
        <v>25</v>
      </c>
      <c r="B3" s="5" t="s">
        <v>55</v>
      </c>
      <c r="C3" s="5" t="s">
        <v>87</v>
      </c>
      <c r="D3" s="5" t="s">
        <v>88</v>
      </c>
      <c r="E3" s="5" t="s">
        <v>89</v>
      </c>
      <c r="F3" s="5" t="s">
        <v>90</v>
      </c>
      <c r="G3" s="5" t="s">
        <v>91</v>
      </c>
      <c r="H3" s="5" t="s">
        <v>92</v>
      </c>
      <c r="I3" s="5" t="s">
        <v>93</v>
      </c>
      <c r="J3" s="5" t="s">
        <v>63</v>
      </c>
    </row>
    <row r="4" customFormat="false" ht="15" hidden="false" customHeight="false" outlineLevel="0" collapsed="false">
      <c r="A4" s="28" t="str">
        <f aca="false">Calculations!A7</f>
        <v>McLaren</v>
      </c>
      <c r="B4" s="28" t="n">
        <f aca="false">Calculations!B7</f>
        <v>666</v>
      </c>
      <c r="C4" s="30" t="n">
        <f aca="false">Calculations!C7</f>
        <v>614</v>
      </c>
      <c r="D4" s="30" t="n">
        <f aca="false">Calculations!D7</f>
        <v>61</v>
      </c>
      <c r="E4" s="45" t="n">
        <f aca="false">Calculations!E7</f>
        <v>10.8469055374593</v>
      </c>
      <c r="F4" s="46" t="n">
        <f aca="false">Calculations!F7</f>
        <v>0.0993485342019544</v>
      </c>
      <c r="G4" s="47" t="n">
        <f aca="false">Calculations!G7</f>
        <v>100</v>
      </c>
      <c r="H4" s="47" t="n">
        <f aca="false">Calculations!H7</f>
        <v>61.6095947973312</v>
      </c>
      <c r="I4" s="47" t="n">
        <f aca="false">Calculations!I7</f>
        <v>88.4828784391994</v>
      </c>
      <c r="J4" s="28" t="n">
        <f aca="false">Calculations!J7</f>
        <v>1</v>
      </c>
    </row>
    <row r="5" customFormat="false" ht="15" hidden="false" customHeight="false" outlineLevel="0" collapsed="false">
      <c r="A5" s="21" t="str">
        <f aca="false">Calculations!A8</f>
        <v>Ferrari</v>
      </c>
      <c r="B5" s="21" t="n">
        <f aca="false">Calculations!B8</f>
        <v>652</v>
      </c>
      <c r="C5" s="23" t="n">
        <f aca="false">Calculations!C8</f>
        <v>670</v>
      </c>
      <c r="D5" s="23" t="n">
        <f aca="false">Calculations!D8</f>
        <v>80</v>
      </c>
      <c r="E5" s="48" t="n">
        <f aca="false">Calculations!E8</f>
        <v>9.73134328358209</v>
      </c>
      <c r="F5" s="49" t="n">
        <f aca="false">Calculations!F8</f>
        <v>0.119402985074627</v>
      </c>
      <c r="G5" s="50" t="n">
        <f aca="false">Calculations!G8</f>
        <v>89.5548941613288</v>
      </c>
      <c r="H5" s="50" t="n">
        <f aca="false">Calculations!H8</f>
        <v>66.6262828012416</v>
      </c>
      <c r="I5" s="50" t="n">
        <f aca="false">Calculations!I8</f>
        <v>82.6763107533026</v>
      </c>
      <c r="J5" s="21" t="n">
        <f aca="false">Calculations!J8</f>
        <v>2</v>
      </c>
    </row>
    <row r="6" customFormat="false" ht="15" hidden="false" customHeight="false" outlineLevel="0" collapsed="false">
      <c r="A6" s="28" t="str">
        <f aca="false">Calculations!A9</f>
        <v>Red Bull Racing</v>
      </c>
      <c r="B6" s="28" t="n">
        <f aca="false">Calculations!B9</f>
        <v>589</v>
      </c>
      <c r="C6" s="30" t="n">
        <f aca="false">Calculations!C9</f>
        <v>618</v>
      </c>
      <c r="D6" s="30" t="n">
        <f aca="false">Calculations!D9</f>
        <v>26</v>
      </c>
      <c r="E6" s="45" t="n">
        <f aca="false">Calculations!E9</f>
        <v>9.53074433656958</v>
      </c>
      <c r="F6" s="46" t="n">
        <f aca="false">Calculations!F9</f>
        <v>0.0420711974110032</v>
      </c>
      <c r="G6" s="47" t="n">
        <f aca="false">Calculations!G9</f>
        <v>87.6766688759272</v>
      </c>
      <c r="H6" s="47" t="n">
        <f aca="false">Calculations!H9</f>
        <v>47.2814773036406</v>
      </c>
      <c r="I6" s="47" t="n">
        <f aca="false">Calculations!I9</f>
        <v>75.5581114042413</v>
      </c>
      <c r="J6" s="28" t="n">
        <f aca="false">Calculations!J9</f>
        <v>3</v>
      </c>
    </row>
    <row r="7" customFormat="false" ht="15" hidden="false" customHeight="false" outlineLevel="0" collapsed="false">
      <c r="A7" s="21" t="str">
        <f aca="false">Calculations!A10</f>
        <v>Mercedes</v>
      </c>
      <c r="B7" s="21" t="n">
        <f aca="false">Calculations!B10</f>
        <v>468</v>
      </c>
      <c r="C7" s="23" t="n">
        <f aca="false">Calculations!C10</f>
        <v>799</v>
      </c>
      <c r="D7" s="23" t="n">
        <f aca="false">Calculations!D10</f>
        <v>202</v>
      </c>
      <c r="E7" s="48" t="n">
        <f aca="false">Calculations!E10</f>
        <v>5.85732165206508</v>
      </c>
      <c r="F7" s="49" t="n">
        <f aca="false">Calculations!F10</f>
        <v>0.252816020025031</v>
      </c>
      <c r="G7" s="50" t="n">
        <f aca="false">Calculations!G10</f>
        <v>53.2820946632638</v>
      </c>
      <c r="H7" s="50" t="n">
        <f aca="false">Calculations!H10</f>
        <v>100</v>
      </c>
      <c r="I7" s="50" t="n">
        <f aca="false">Calculations!I10</f>
        <v>67.2974662642846</v>
      </c>
      <c r="J7" s="21" t="n">
        <f aca="false">Calculations!J10</f>
        <v>4</v>
      </c>
    </row>
    <row r="8" customFormat="false" ht="15" hidden="false" customHeight="false" outlineLevel="0" collapsed="false">
      <c r="A8" s="28" t="str">
        <f aca="false">Calculations!A11</f>
        <v>Aston Martin</v>
      </c>
      <c r="B8" s="28" t="n">
        <f aca="false">Calculations!B11</f>
        <v>94</v>
      </c>
      <c r="C8" s="30" t="n">
        <f aca="false">Calculations!C11</f>
        <v>353</v>
      </c>
      <c r="D8" s="30" t="n">
        <f aca="false">Calculations!D11</f>
        <v>-18</v>
      </c>
      <c r="E8" s="45" t="n">
        <f aca="false">Calculations!E11</f>
        <v>2.6628895184136</v>
      </c>
      <c r="F8" s="46" t="n">
        <f aca="false">Calculations!F11</f>
        <v>-0.0509915014164306</v>
      </c>
      <c r="G8" s="47" t="n">
        <f aca="false">Calculations!G11</f>
        <v>23.3723503935233</v>
      </c>
      <c r="H8" s="47" t="n">
        <f aca="false">Calculations!H11</f>
        <v>24.001531730297</v>
      </c>
      <c r="I8" s="47" t="n">
        <f aca="false">Calculations!I11</f>
        <v>23.5611047945554</v>
      </c>
      <c r="J8" s="28" t="n">
        <f aca="false">Calculations!J11</f>
        <v>6</v>
      </c>
    </row>
    <row r="9" customFormat="false" ht="15" hidden="false" customHeight="false" outlineLevel="0" collapsed="false">
      <c r="A9" s="21" t="str">
        <f aca="false">Calculations!A12</f>
        <v>Alpine</v>
      </c>
      <c r="B9" s="21" t="n">
        <f aca="false">Calculations!B12</f>
        <v>65</v>
      </c>
      <c r="C9" s="23" t="n">
        <f aca="false">Calculations!C12</f>
        <v>300</v>
      </c>
      <c r="D9" s="23" t="n">
        <f aca="false">Calculations!D12</f>
        <v>-13</v>
      </c>
      <c r="E9" s="48" t="n">
        <f aca="false">Calculations!E12</f>
        <v>2.16666666666667</v>
      </c>
      <c r="F9" s="49" t="n">
        <f aca="false">Calculations!F12</f>
        <v>-0.0433333333333333</v>
      </c>
      <c r="G9" s="50" t="n">
        <f aca="false">Calculations!G12</f>
        <v>18.7261729273624</v>
      </c>
      <c r="H9" s="50" t="n">
        <f aca="false">Calculations!H12</f>
        <v>25.9172481065931</v>
      </c>
      <c r="I9" s="50" t="n">
        <f aca="false">Calculations!I12</f>
        <v>20.8834954811316</v>
      </c>
      <c r="J9" s="21" t="n">
        <f aca="false">Calculations!J12</f>
        <v>7</v>
      </c>
    </row>
    <row r="10" customFormat="false" ht="15" hidden="false" customHeight="false" outlineLevel="0" collapsed="false">
      <c r="A10" s="28" t="str">
        <f aca="false">Calculations!A13</f>
        <v>Haas</v>
      </c>
      <c r="B10" s="28" t="n">
        <f aca="false">Calculations!B13</f>
        <v>58</v>
      </c>
      <c r="C10" s="30" t="n">
        <f aca="false">Calculations!C13</f>
        <v>150</v>
      </c>
      <c r="D10" s="30" t="n">
        <f aca="false">Calculations!D13</f>
        <v>9</v>
      </c>
      <c r="E10" s="45" t="n">
        <f aca="false">Calculations!E13</f>
        <v>3.86666666666667</v>
      </c>
      <c r="F10" s="46" t="n">
        <f aca="false">Calculations!F13</f>
        <v>0.06</v>
      </c>
      <c r="G10" s="47" t="n">
        <f aca="false">Calculations!G13</f>
        <v>34.6434199156204</v>
      </c>
      <c r="H10" s="47" t="n">
        <f aca="false">Calculations!H13</f>
        <v>51.7664272752831</v>
      </c>
      <c r="I10" s="47" t="n">
        <f aca="false">Calculations!I13</f>
        <v>39.7803221235192</v>
      </c>
      <c r="J10" s="28" t="n">
        <f aca="false">Calculations!J13</f>
        <v>5</v>
      </c>
    </row>
    <row r="11" customFormat="false" ht="15" hidden="false" customHeight="false" outlineLevel="0" collapsed="false">
      <c r="A11" s="21" t="str">
        <f aca="false">Calculations!A14</f>
        <v>Racing Bulls (RB)</v>
      </c>
      <c r="B11" s="21" t="n">
        <f aca="false">Calculations!B14</f>
        <v>46</v>
      </c>
      <c r="C11" s="23" t="n">
        <f aca="false">Calculations!C14</f>
        <v>318</v>
      </c>
      <c r="D11" s="23" t="n">
        <f aca="false">Calculations!D14</f>
        <v>5</v>
      </c>
      <c r="E11" s="48" t="n">
        <f aca="false">Calculations!E14</f>
        <v>1.44654088050314</v>
      </c>
      <c r="F11" s="49" t="n">
        <f aca="false">Calculations!F14</f>
        <v>0.0157232704402516</v>
      </c>
      <c r="G11" s="50" t="n">
        <f aca="false">Calculations!G14</f>
        <v>11.9835729267869</v>
      </c>
      <c r="H11" s="50" t="n">
        <f aca="false">Calculations!H14</f>
        <v>40.6904551908292</v>
      </c>
      <c r="I11" s="50" t="n">
        <f aca="false">Calculations!I14</f>
        <v>20.5956376059996</v>
      </c>
      <c r="J11" s="21" t="n">
        <f aca="false">Calculations!J14</f>
        <v>8</v>
      </c>
    </row>
    <row r="12" customFormat="false" ht="15" hidden="false" customHeight="false" outlineLevel="0" collapsed="false">
      <c r="A12" s="28" t="str">
        <f aca="false">Calculations!A15</f>
        <v>Williams</v>
      </c>
      <c r="B12" s="28" t="n">
        <f aca="false">Calculations!B15</f>
        <v>17</v>
      </c>
      <c r="C12" s="30" t="n">
        <f aca="false">Calculations!C15</f>
        <v>245</v>
      </c>
      <c r="D12" s="30" t="n">
        <f aca="false">Calculations!D15</f>
        <v>-36</v>
      </c>
      <c r="E12" s="45" t="n">
        <f aca="false">Calculations!E15</f>
        <v>0.693877551020408</v>
      </c>
      <c r="F12" s="46" t="n">
        <f aca="false">Calculations!F15</f>
        <v>-0.146938775510204</v>
      </c>
      <c r="G12" s="47" t="n">
        <f aca="false">Calculations!G15</f>
        <v>4.93632109479791</v>
      </c>
      <c r="H12" s="47" t="n">
        <f aca="false">Calculations!H15</f>
        <v>0</v>
      </c>
      <c r="I12" s="47" t="n">
        <f aca="false">Calculations!I15</f>
        <v>3.45542476635853</v>
      </c>
      <c r="J12" s="28" t="n">
        <f aca="false">Calculations!J15</f>
        <v>9</v>
      </c>
    </row>
    <row r="13" customFormat="false" ht="15" hidden="false" customHeight="false" outlineLevel="0" collapsed="false">
      <c r="A13" s="21" t="str">
        <f aca="false">Calculations!A16</f>
        <v>Sauber</v>
      </c>
      <c r="B13" s="21" t="n">
        <f aca="false">Calculations!B16</f>
        <v>4</v>
      </c>
      <c r="C13" s="23" t="n">
        <f aca="false">Calculations!C16</f>
        <v>240</v>
      </c>
      <c r="D13" s="23" t="n">
        <f aca="false">Calculations!D16</f>
        <v>-25</v>
      </c>
      <c r="E13" s="48" t="n">
        <f aca="false">Calculations!E16</f>
        <v>0.166666666666667</v>
      </c>
      <c r="F13" s="49" t="n">
        <f aca="false">Calculations!F16</f>
        <v>-0.104166666666667</v>
      </c>
      <c r="G13" s="50" t="n">
        <f aca="false">Calculations!G16</f>
        <v>0</v>
      </c>
      <c r="H13" s="50" t="n">
        <f aca="false">Calculations!H16</f>
        <v>10.6995861766385</v>
      </c>
      <c r="I13" s="50" t="n">
        <f aca="false">Calculations!I16</f>
        <v>3.20987585299154</v>
      </c>
      <c r="J13" s="21" t="n">
        <f aca="false">Calculations!J16</f>
        <v>10</v>
      </c>
    </row>
    <row r="15" customFormat="false" ht="15" hidden="false" customHeight="false" outlineLevel="0" collapsed="false">
      <c r="A15" s="4" t="s">
        <v>94</v>
      </c>
      <c r="B15" s="4"/>
      <c r="C15" s="4"/>
      <c r="D15" s="4"/>
      <c r="E15" s="4"/>
      <c r="F15" s="4"/>
      <c r="G15" s="4"/>
      <c r="H15" s="4"/>
      <c r="I15" s="4"/>
      <c r="J15" s="4"/>
    </row>
  </sheetData>
  <mergeCells count="2">
    <mergeCell ref="A1:J1"/>
    <mergeCell ref="A15:J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5"/>
  </cols>
  <sheetData>
    <row r="1" customFormat="false" ht="15" hidden="false" customHeight="false" outlineLevel="0" collapsed="false">
      <c r="A1" s="1" t="s">
        <v>95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3" t="s">
        <v>96</v>
      </c>
    </row>
    <row r="5" customFormat="false" ht="15" hidden="false" customHeight="false" outlineLevel="0" collapsed="false">
      <c r="B5" s="2" t="s">
        <v>97</v>
      </c>
    </row>
    <row r="6" customFormat="false" ht="15" hidden="false" customHeight="false" outlineLevel="0" collapsed="false">
      <c r="B6" s="2" t="s">
        <v>98</v>
      </c>
    </row>
    <row r="7" customFormat="false" ht="15" hidden="false" customHeight="false" outlineLevel="0" collapsed="false">
      <c r="B7" s="2"/>
    </row>
    <row r="8" customFormat="false" ht="15" hidden="false" customHeight="false" outlineLevel="0" collapsed="false">
      <c r="B8" s="3" t="s">
        <v>99</v>
      </c>
    </row>
    <row r="9" customFormat="false" ht="15" hidden="false" customHeight="false" outlineLevel="0" collapsed="false">
      <c r="B9" s="2" t="s">
        <v>100</v>
      </c>
    </row>
    <row r="10" customFormat="false" ht="15" hidden="false" customHeight="false" outlineLevel="0" collapsed="false">
      <c r="B10" s="2" t="s">
        <v>101</v>
      </c>
    </row>
    <row r="11" customFormat="false" ht="15" hidden="false" customHeight="false" outlineLevel="0" collapsed="false">
      <c r="B11" s="2" t="s">
        <v>102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103</v>
      </c>
    </row>
    <row r="14" customFormat="false" ht="15" hidden="false" customHeight="false" outlineLevel="0" collapsed="false">
      <c r="B14" s="2" t="s">
        <v>104</v>
      </c>
    </row>
    <row r="15" customFormat="false" ht="15" hidden="false" customHeight="false" outlineLevel="0" collapsed="false">
      <c r="B15" s="2" t="s">
        <v>105</v>
      </c>
    </row>
    <row r="16" customFormat="false" ht="15" hidden="false" customHeight="false" outlineLevel="0" collapsed="false">
      <c r="B16" s="2" t="s">
        <v>106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3" t="s">
        <v>107</v>
      </c>
    </row>
    <row r="19" customFormat="false" ht="15" hidden="false" customHeight="false" outlineLevel="0" collapsed="false">
      <c r="B19" s="2" t="s">
        <v>108</v>
      </c>
    </row>
    <row r="20" customFormat="false" ht="15" hidden="false" customHeight="false" outlineLevel="0" collapsed="false">
      <c r="B20" s="2" t="s">
        <v>109</v>
      </c>
    </row>
    <row r="21" customFormat="false" ht="15" hidden="false" customHeight="false" outlineLevel="0" collapsed="false">
      <c r="B21" s="2" t="s">
        <v>110</v>
      </c>
    </row>
    <row r="22" customFormat="false" ht="15" hidden="false" customHeight="false" outlineLevel="0" collapsed="false">
      <c r="B22" s="2" t="s">
        <v>111</v>
      </c>
    </row>
    <row r="23" customFormat="false" ht="15" hidden="false" customHeight="false" outlineLevel="0" collapsed="false">
      <c r="B23" s="2" t="s">
        <v>112</v>
      </c>
    </row>
    <row r="24" customFormat="false" ht="15" hidden="false" customHeight="false" outlineLevel="0" collapsed="false">
      <c r="B24" s="2" t="s">
        <v>113</v>
      </c>
    </row>
    <row r="25" customFormat="false" ht="15" hidden="false" customHeight="false" outlineLevel="0" collapsed="false">
      <c r="B25" s="2" t="s">
        <v>114</v>
      </c>
    </row>
    <row r="26" customFormat="false" ht="15" hidden="false" customHeight="false" outlineLevel="0" collapsed="false">
      <c r="B26" s="2"/>
    </row>
    <row r="27" customFormat="false" ht="15" hidden="false" customHeight="false" outlineLevel="0" collapsed="false">
      <c r="B27" s="3" t="s">
        <v>115</v>
      </c>
    </row>
    <row r="28" customFormat="false" ht="15" hidden="false" customHeight="false" outlineLevel="0" collapsed="false">
      <c r="B28" s="2" t="s">
        <v>116</v>
      </c>
    </row>
    <row r="29" customFormat="false" ht="15" hidden="false" customHeight="false" outlineLevel="0" collapsed="false">
      <c r="B29" s="2"/>
    </row>
    <row r="30" customFormat="false" ht="15" hidden="false" customHeight="false" outlineLevel="0" collapsed="false">
      <c r="B30" s="3" t="s">
        <v>117</v>
      </c>
    </row>
    <row r="31" customFormat="false" ht="15" hidden="false" customHeight="false" outlineLevel="0" collapsed="false">
      <c r="B31" s="2" t="s">
        <v>118</v>
      </c>
    </row>
    <row r="32" customFormat="false" ht="15" hidden="false" customHeight="false" outlineLevel="0" collapsed="false">
      <c r="B32" s="2" t="s">
        <v>119</v>
      </c>
    </row>
    <row r="33" customFormat="false" ht="15" hidden="false" customHeight="false" outlineLevel="0" collapsed="false">
      <c r="B33" s="2" t="s">
        <v>120</v>
      </c>
    </row>
    <row r="34" customFormat="false" ht="15" hidden="false" customHeight="false" outlineLevel="0" collapsed="false">
      <c r="B34" s="2"/>
    </row>
    <row r="35" customFormat="false" ht="15" hidden="false" customHeight="false" outlineLevel="0" collapsed="false">
      <c r="B35" s="3" t="s">
        <v>121</v>
      </c>
    </row>
    <row r="36" customFormat="false" ht="15" hidden="false" customHeight="false" outlineLevel="0" collapsed="false">
      <c r="B36" s="2" t="s">
        <v>122</v>
      </c>
    </row>
    <row r="37" customFormat="false" ht="15" hidden="false" customHeight="false" outlineLevel="0" collapsed="false">
      <c r="B37" s="2"/>
    </row>
    <row r="38" customFormat="false" ht="15" hidden="false" customHeight="false" outlineLevel="0" collapsed="false">
      <c r="B38" s="3" t="s">
        <v>123</v>
      </c>
    </row>
    <row r="39" customFormat="false" ht="15" hidden="false" customHeight="false" outlineLevel="0" collapsed="false">
      <c r="B39" s="2" t="s">
        <v>124</v>
      </c>
    </row>
    <row r="40" customFormat="false" ht="15" hidden="false" customHeight="false" outlineLevel="0" collapsed="false">
      <c r="B40" s="2" t="s">
        <v>125</v>
      </c>
    </row>
    <row r="41" customFormat="false" ht="15" hidden="false" customHeight="false" outlineLevel="0" collapsed="false">
      <c r="B41" s="51" t="s">
        <v>126</v>
      </c>
    </row>
    <row r="42" customFormat="false" ht="15" hidden="false" customHeight="false" outlineLevel="0" collapsed="false">
      <c r="B42" s="51" t="s">
        <v>127</v>
      </c>
    </row>
    <row r="43" customFormat="false" ht="15" hidden="false" customHeight="false" outlineLevel="0" collapsed="false">
      <c r="B43" s="51" t="s">
        <v>128</v>
      </c>
    </row>
    <row r="44" customFormat="false" ht="15" hidden="false" customHeight="false" outlineLevel="0" collapsed="false">
      <c r="B44" s="51" t="s">
        <v>129</v>
      </c>
    </row>
    <row r="45" customFormat="false" ht="15" hidden="false" customHeight="false" outlineLevel="0" collapsed="false">
      <c r="B45" s="51" t="s">
        <v>130</v>
      </c>
    </row>
    <row r="46" customFormat="false" ht="23.85" hidden="false" customHeight="false" outlineLevel="0" collapsed="false">
      <c r="B46" s="51" t="s">
        <v>131</v>
      </c>
    </row>
    <row r="47" customFormat="false" ht="23.85" hidden="false" customHeight="false" outlineLevel="0" collapsed="false">
      <c r="B47" s="51" t="s">
        <v>132</v>
      </c>
    </row>
    <row r="48" customFormat="false" ht="15" hidden="false" customHeight="false" outlineLevel="0" collapsed="false">
      <c r="B48" s="51" t="s">
        <v>133</v>
      </c>
    </row>
  </sheetData>
  <mergeCells count="1">
    <mergeCell ref="A1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2026-08-17T09:51:21Z</dcterms:created>
  <dc:creator>openpyxl</dc:creator>
  <dc:description/>
  <dc:language>en-US</dc:language>
  <cp:lastModifiedBy/>
  <dcterms:modified xsi:type="dcterms:W3CDTF">2026-08-17T09:51:28Z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